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npparibas-my.sharepoint.com/personal/marymelody_morel_bnpparibas_com/Documents/VBA/"/>
    </mc:Choice>
  </mc:AlternateContent>
  <xr:revisionPtr revIDLastSave="17863" documentId="8_{509D7AD5-6E2F-4430-89F3-4A666B45C480}" xr6:coauthVersionLast="47" xr6:coauthVersionMax="47" xr10:uidLastSave="{EE8B509C-E012-4020-A429-8DC92ACCB174}"/>
  <bookViews>
    <workbookView xWindow="-28950" yWindow="-120" windowWidth="29040" windowHeight="15720" xr2:uid="{C6ACFCED-5E05-43F2-824B-D89B0E8B7825}"/>
  </bookViews>
  <sheets>
    <sheet name="CA (without amortization)" sheetId="1" r:id="rId1"/>
    <sheet name="VBA tes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7" i="1" l="1"/>
  <c r="L8" i="1"/>
  <c r="B52" i="1" l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7" i="1"/>
  <c r="H46" i="1"/>
  <c r="K2" i="1"/>
  <c r="B10" i="1" s="1"/>
  <c r="F10" i="1" s="1"/>
  <c r="K1" i="1"/>
  <c r="J45" i="1" s="1"/>
  <c r="L46" i="1"/>
  <c r="M46" i="1" s="1"/>
  <c r="J7" i="1" l="1"/>
  <c r="B7" i="1"/>
  <c r="G7" i="1" s="1"/>
  <c r="I46" i="1"/>
  <c r="J46" i="1" s="1"/>
  <c r="J44" i="1"/>
  <c r="J43" i="1"/>
  <c r="J39" i="1"/>
  <c r="J31" i="1"/>
  <c r="J23" i="1"/>
  <c r="J37" i="1"/>
  <c r="J29" i="1"/>
  <c r="J21" i="1"/>
  <c r="J13" i="1"/>
  <c r="J36" i="1"/>
  <c r="J28" i="1"/>
  <c r="J20" i="1"/>
  <c r="J12" i="1"/>
  <c r="J35" i="1"/>
  <c r="J27" i="1"/>
  <c r="J19" i="1"/>
  <c r="J11" i="1"/>
  <c r="J15" i="1"/>
  <c r="J38" i="1"/>
  <c r="J30" i="1"/>
  <c r="J22" i="1"/>
  <c r="J14" i="1"/>
  <c r="J42" i="1"/>
  <c r="J34" i="1"/>
  <c r="J26" i="1"/>
  <c r="J18" i="1"/>
  <c r="J10" i="1"/>
  <c r="J41" i="1"/>
  <c r="J33" i="1"/>
  <c r="J25" i="1"/>
  <c r="J17" i="1"/>
  <c r="J9" i="1"/>
  <c r="J40" i="1"/>
  <c r="J32" i="1"/>
  <c r="J24" i="1"/>
  <c r="J16" i="1"/>
  <c r="J8" i="1"/>
  <c r="I48" i="1"/>
  <c r="F7" i="1"/>
  <c r="B33" i="1"/>
  <c r="F33" i="1" s="1"/>
  <c r="B11" i="1"/>
  <c r="F11" i="1" s="1"/>
  <c r="B45" i="1"/>
  <c r="F45" i="1" s="1"/>
  <c r="B29" i="1"/>
  <c r="F29" i="1" s="1"/>
  <c r="B9" i="1"/>
  <c r="F9" i="1" s="1"/>
  <c r="B43" i="1"/>
  <c r="F43" i="1" s="1"/>
  <c r="B27" i="1"/>
  <c r="F27" i="1" s="1"/>
  <c r="B35" i="1"/>
  <c r="F35" i="1" s="1"/>
  <c r="B42" i="1"/>
  <c r="F42" i="1" s="1"/>
  <c r="B41" i="1"/>
  <c r="F41" i="1" s="1"/>
  <c r="B39" i="1"/>
  <c r="F39" i="1" s="1"/>
  <c r="B19" i="1"/>
  <c r="F19" i="1" s="1"/>
  <c r="B13" i="1"/>
  <c r="F13" i="1" s="1"/>
  <c r="B25" i="1"/>
  <c r="F25" i="1" s="1"/>
  <c r="B21" i="1"/>
  <c r="F21" i="1" s="1"/>
  <c r="B37" i="1"/>
  <c r="F37" i="1" s="1"/>
  <c r="B17" i="1"/>
  <c r="G10" i="1"/>
  <c r="B40" i="1"/>
  <c r="F40" i="1" s="1"/>
  <c r="B32" i="1"/>
  <c r="F32" i="1" s="1"/>
  <c r="B24" i="1"/>
  <c r="F24" i="1" s="1"/>
  <c r="B16" i="1"/>
  <c r="F16" i="1" s="1"/>
  <c r="B8" i="1"/>
  <c r="F8" i="1" s="1"/>
  <c r="B31" i="1"/>
  <c r="F31" i="1" s="1"/>
  <c r="B15" i="1"/>
  <c r="F15" i="1" s="1"/>
  <c r="B23" i="1"/>
  <c r="F23" i="1" s="1"/>
  <c r="B46" i="1"/>
  <c r="F46" i="1" s="1"/>
  <c r="B38" i="1"/>
  <c r="F38" i="1" s="1"/>
  <c r="B30" i="1"/>
  <c r="F30" i="1" s="1"/>
  <c r="B22" i="1"/>
  <c r="F22" i="1" s="1"/>
  <c r="B14" i="1"/>
  <c r="F14" i="1" s="1"/>
  <c r="B44" i="1"/>
  <c r="F44" i="1" s="1"/>
  <c r="B36" i="1"/>
  <c r="F36" i="1" s="1"/>
  <c r="B28" i="1"/>
  <c r="F28" i="1" s="1"/>
  <c r="B20" i="1"/>
  <c r="F20" i="1" s="1"/>
  <c r="B12" i="1"/>
  <c r="F12" i="1" s="1"/>
  <c r="B34" i="1"/>
  <c r="F34" i="1" s="1"/>
  <c r="B26" i="1"/>
  <c r="F26" i="1" s="1"/>
  <c r="B18" i="1"/>
  <c r="F18" i="1" s="1"/>
  <c r="H48" i="1"/>
  <c r="G36" i="1" l="1"/>
  <c r="G15" i="1"/>
  <c r="K15" i="1" s="1"/>
  <c r="E15" i="1" s="1"/>
  <c r="G16" i="1"/>
  <c r="K16" i="1" s="1"/>
  <c r="E16" i="1" s="1"/>
  <c r="G41" i="1"/>
  <c r="K41" i="1" s="1"/>
  <c r="E41" i="1" s="1"/>
  <c r="G33" i="1"/>
  <c r="K33" i="1" s="1"/>
  <c r="E33" i="1" s="1"/>
  <c r="G14" i="1"/>
  <c r="K14" i="1" s="1"/>
  <c r="E14" i="1" s="1"/>
  <c r="G32" i="1"/>
  <c r="K32" i="1" s="1"/>
  <c r="E32" i="1" s="1"/>
  <c r="K7" i="1"/>
  <c r="E7" i="1" s="1"/>
  <c r="G22" i="1"/>
  <c r="G40" i="1"/>
  <c r="K40" i="1" s="1"/>
  <c r="E40" i="1" s="1"/>
  <c r="G25" i="1"/>
  <c r="K25" i="1" s="1"/>
  <c r="E25" i="1" s="1"/>
  <c r="G27" i="1"/>
  <c r="K27" i="1" s="1"/>
  <c r="E27" i="1" s="1"/>
  <c r="G31" i="1"/>
  <c r="K31" i="1" s="1"/>
  <c r="E31" i="1" s="1"/>
  <c r="G11" i="1"/>
  <c r="K11" i="1" s="1"/>
  <c r="E11" i="1" s="1"/>
  <c r="G37" i="1"/>
  <c r="K37" i="1" s="1"/>
  <c r="E37" i="1" s="1"/>
  <c r="G30" i="1"/>
  <c r="K30" i="1" s="1"/>
  <c r="E30" i="1" s="1"/>
  <c r="G13" i="1"/>
  <c r="G43" i="1"/>
  <c r="G23" i="1"/>
  <c r="K23" i="1" s="1"/>
  <c r="E23" i="1" s="1"/>
  <c r="G8" i="1"/>
  <c r="K8" i="1" s="1"/>
  <c r="E8" i="1" s="1"/>
  <c r="G45" i="1"/>
  <c r="K45" i="1" s="1"/>
  <c r="E45" i="1" s="1"/>
  <c r="G17" i="1"/>
  <c r="K17" i="1" s="1"/>
  <c r="E17" i="1" s="1"/>
  <c r="G24" i="1"/>
  <c r="K24" i="1" s="1"/>
  <c r="E24" i="1" s="1"/>
  <c r="G42" i="1"/>
  <c r="G21" i="1"/>
  <c r="G35" i="1"/>
  <c r="K35" i="1" s="1"/>
  <c r="E35" i="1" s="1"/>
  <c r="G18" i="1"/>
  <c r="K18" i="1" s="1"/>
  <c r="E18" i="1" s="1"/>
  <c r="G12" i="1"/>
  <c r="G26" i="1"/>
  <c r="K26" i="1" s="1"/>
  <c r="E26" i="1" s="1"/>
  <c r="G20" i="1"/>
  <c r="K20" i="1" s="1"/>
  <c r="E20" i="1" s="1"/>
  <c r="G38" i="1"/>
  <c r="G9" i="1"/>
  <c r="K9" i="1" s="1"/>
  <c r="E9" i="1" s="1"/>
  <c r="G39" i="1"/>
  <c r="G34" i="1"/>
  <c r="K34" i="1" s="1"/>
  <c r="E34" i="1" s="1"/>
  <c r="G28" i="1"/>
  <c r="K28" i="1" s="1"/>
  <c r="E28" i="1" s="1"/>
  <c r="G46" i="1"/>
  <c r="K46" i="1" s="1"/>
  <c r="E46" i="1" s="1"/>
  <c r="G19" i="1"/>
  <c r="K19" i="1" s="1"/>
  <c r="E19" i="1" s="1"/>
  <c r="G29" i="1"/>
  <c r="K29" i="1" s="1"/>
  <c r="E29" i="1" s="1"/>
  <c r="G44" i="1"/>
  <c r="K22" i="1"/>
  <c r="E22" i="1" s="1"/>
  <c r="K39" i="1"/>
  <c r="E39" i="1" s="1"/>
  <c r="K10" i="1"/>
  <c r="E10" i="1" s="1"/>
  <c r="J48" i="1"/>
  <c r="K21" i="1"/>
  <c r="E21" i="1" s="1"/>
  <c r="B48" i="1"/>
  <c r="L9" i="1" l="1"/>
  <c r="M9" i="1" s="1"/>
  <c r="O9" i="1" s="1"/>
  <c r="L41" i="1"/>
  <c r="M41" i="1" s="1"/>
  <c r="L29" i="1"/>
  <c r="M29" i="1" s="1"/>
  <c r="L45" i="1"/>
  <c r="M45" i="1" s="1"/>
  <c r="L7" i="1"/>
  <c r="M7" i="1" s="1"/>
  <c r="O7" i="1" s="1"/>
  <c r="L13" i="1"/>
  <c r="M13" i="1" s="1"/>
  <c r="O13" i="1" s="1"/>
  <c r="F48" i="1"/>
  <c r="G48" i="1"/>
  <c r="K48" i="1" s="1"/>
  <c r="L10" i="1"/>
  <c r="M10" i="1" s="1"/>
  <c r="O10" i="1" s="1"/>
  <c r="L11" i="1"/>
  <c r="M11" i="1" s="1"/>
  <c r="O11" i="1" s="1"/>
  <c r="K42" i="1"/>
  <c r="E42" i="1" s="1"/>
  <c r="L44" i="1"/>
  <c r="M44" i="1" s="1"/>
  <c r="L14" i="1"/>
  <c r="M14" i="1" s="1"/>
  <c r="O14" i="1" s="1"/>
  <c r="L36" i="1"/>
  <c r="M36" i="1" s="1"/>
  <c r="L17" i="1"/>
  <c r="L32" i="1"/>
  <c r="M32" i="1" s="1"/>
  <c r="L18" i="1"/>
  <c r="L26" i="1"/>
  <c r="M26" i="1" s="1"/>
  <c r="L34" i="1"/>
  <c r="M34" i="1" s="1"/>
  <c r="L25" i="1"/>
  <c r="M25" i="1" s="1"/>
  <c r="L42" i="1"/>
  <c r="M42" i="1" s="1"/>
  <c r="K44" i="1"/>
  <c r="E44" i="1" s="1"/>
  <c r="L28" i="1"/>
  <c r="M28" i="1" s="1"/>
  <c r="L27" i="1"/>
  <c r="M27" i="1" s="1"/>
  <c r="L24" i="1"/>
  <c r="M24" i="1" s="1"/>
  <c r="L12" i="1"/>
  <c r="L19" i="1"/>
  <c r="L20" i="1"/>
  <c r="M20" i="1" s="1"/>
  <c r="O20" i="1" s="1"/>
  <c r="L23" i="1"/>
  <c r="M23" i="1" s="1"/>
  <c r="L35" i="1"/>
  <c r="M35" i="1" s="1"/>
  <c r="L31" i="1"/>
  <c r="M31" i="1" s="1"/>
  <c r="L40" i="1"/>
  <c r="M40" i="1" s="1"/>
  <c r="L37" i="1"/>
  <c r="M37" i="1" s="1"/>
  <c r="L30" i="1"/>
  <c r="M30" i="1" s="1"/>
  <c r="L38" i="1"/>
  <c r="M38" i="1" s="1"/>
  <c r="L43" i="1"/>
  <c r="M43" i="1" s="1"/>
  <c r="L22" i="1"/>
  <c r="M22" i="1" s="1"/>
  <c r="K36" i="1"/>
  <c r="E36" i="1" s="1"/>
  <c r="L39" i="1"/>
  <c r="M39" i="1" s="1"/>
  <c r="K38" i="1"/>
  <c r="E38" i="1" s="1"/>
  <c r="L16" i="1"/>
  <c r="K13" i="1"/>
  <c r="E13" i="1" s="1"/>
  <c r="L33" i="1"/>
  <c r="M33" i="1" s="1"/>
  <c r="K43" i="1"/>
  <c r="E43" i="1" s="1"/>
  <c r="L15" i="1"/>
  <c r="L21" i="1"/>
  <c r="M21" i="1" s="1"/>
  <c r="K12" i="1"/>
  <c r="E12" i="1" s="1"/>
  <c r="E48" i="1" l="1"/>
  <c r="B54" i="1"/>
  <c r="B51" i="1"/>
  <c r="B53" i="1" s="1"/>
  <c r="M8" i="1"/>
  <c r="O8" i="1" s="1"/>
  <c r="M15" i="1"/>
  <c r="O15" i="1" s="1"/>
  <c r="M17" i="1"/>
  <c r="O17" i="1" s="1"/>
  <c r="M16" i="1"/>
  <c r="O16" i="1" s="1"/>
  <c r="M18" i="1"/>
  <c r="O18" i="1" s="1"/>
  <c r="M12" i="1"/>
  <c r="O12" i="1" s="1"/>
  <c r="M19" i="1"/>
  <c r="O19" i="1" s="1"/>
</calcChain>
</file>

<file path=xl/sharedStrings.xml><?xml version="1.0" encoding="utf-8"?>
<sst xmlns="http://schemas.openxmlformats.org/spreadsheetml/2006/main" count="78" uniqueCount="46">
  <si>
    <t>Issuing date</t>
  </si>
  <si>
    <t>Maturity date</t>
  </si>
  <si>
    <t>Company</t>
  </si>
  <si>
    <t>Crédit Agricole SA</t>
  </si>
  <si>
    <t>Market price</t>
  </si>
  <si>
    <t>Amount</t>
  </si>
  <si>
    <t>Prospectus</t>
  </si>
  <si>
    <t>offre publique d'échange juin 94</t>
  </si>
  <si>
    <t>ISIN</t>
  </si>
  <si>
    <t>FR01CASA0019</t>
  </si>
  <si>
    <t>Total</t>
  </si>
  <si>
    <t>Coupon</t>
  </si>
  <si>
    <t>No</t>
  </si>
  <si>
    <t>Date</t>
  </si>
  <si>
    <t>In percentage</t>
  </si>
  <si>
    <t>Yield to maturity</t>
  </si>
  <si>
    <t>Under or over priced</t>
  </si>
  <si>
    <t>Clean price</t>
  </si>
  <si>
    <t>Real price (Euronext data)</t>
  </si>
  <si>
    <t>Convexity</t>
  </si>
  <si>
    <t>Bond price as at issuing date</t>
  </si>
  <si>
    <t>Number of year</t>
  </si>
  <si>
    <t>Coupon FV</t>
  </si>
  <si>
    <t>Amortization</t>
  </si>
  <si>
    <t>Yearly coupon rate</t>
  </si>
  <si>
    <t>Quarterly coupon rate</t>
  </si>
  <si>
    <t>Coupon FV per security</t>
  </si>
  <si>
    <t>Amortization FV</t>
  </si>
  <si>
    <t>Amortization FV per security</t>
  </si>
  <si>
    <t>Macaulay duration</t>
  </si>
  <si>
    <t>FV CF per security</t>
  </si>
  <si>
    <t>+1</t>
  </si>
  <si>
    <t>Factor for convexity</t>
  </si>
  <si>
    <t>If the rate increases by 0,01, the bond price drops by 8,63%</t>
  </si>
  <si>
    <t>Duration Excel</t>
  </si>
  <si>
    <t>In %</t>
  </si>
  <si>
    <t>plus 1</t>
  </si>
  <si>
    <t>Under or over-priced</t>
  </si>
  <si>
    <t>Number of securities issued</t>
  </si>
  <si>
    <t>Real price (market data in %)</t>
  </si>
  <si>
    <t>under-priced</t>
  </si>
  <si>
    <t>over-priced</t>
  </si>
  <si>
    <t>Yearly interest rate</t>
  </si>
  <si>
    <t>Length in year</t>
  </si>
  <si>
    <t>If the rate increases by 0,01, the bond drops by 8,60320431702262%</t>
  </si>
  <si>
    <t>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</si>
</sst>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#,##0\ &quot;€&quot;;[Red]\-#,##0\ &quot;€&quot;"/>
    <numFmt numFmtId="43" formatCode="_-* #,##0.00_-;\-* #,##0.00_-;_-* &quot;-&quot;??_-;_-@_-"/>
    <numFmt numFmtId="164" formatCode="_-* #,##0_-;\-* #,##0_-;_-* &quot;-&quot;??_-;_-@_-"/>
    <numFmt numFmtId="165" formatCode="0.000%"/>
    <numFmt numFmtId="166" formatCode="_-* #,##0.000\ _€_-;\-* #,##0.000\ _€_-;_-* &quot;-&quot;???\ _€_-;_-@_-"/>
    <numFmt numFmtId="167" formatCode="_-* #,##0.00\ _€_-;\-* #,##0.00\ _€_-;_-* &quot;-&quot;???\ _€_-;_-@_-"/>
    <numFmt numFmtId="168" formatCode="_-* #,##0.0000\ _€_-;\-* #,##0.0000\ _€_-;_-* &quot;-&quot;???\ _€_-;_-@_-"/>
    <numFmt numFmtId="169" formatCode="0.00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theme="8" tint="0.59999389629810485"/>
      </patternFill>
    </fill>
  </fills>
  <borders count="11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theme="8" tint="0.39997558519241921"/>
      </left>
      <right/>
      <top style="thin">
        <color theme="8"/>
      </top>
      <bottom/>
      <diagonal/>
    </border>
    <border>
      <left style="thin">
        <color theme="8"/>
      </left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8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9" fontId="0" fillId="0" borderId="0" xfId="2" applyFont="1"/>
    <xf numFmtId="10" fontId="0" fillId="0" borderId="0" xfId="2" applyNumberFormat="1" applyFont="1"/>
    <xf numFmtId="6" fontId="0" fillId="0" borderId="0" xfId="0" applyNumberFormat="1"/>
    <xf numFmtId="0" fontId="4" fillId="0" borderId="0" xfId="3"/>
    <xf numFmtId="165" fontId="0" fillId="0" borderId="0" xfId="1" applyNumberFormat="1" applyFont="1"/>
    <xf numFmtId="166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right"/>
    </xf>
    <xf numFmtId="0" fontId="2" fillId="2" borderId="2" xfId="0" applyFont="1" applyFill="1" applyBorder="1"/>
    <xf numFmtId="0" fontId="3" fillId="0" borderId="0" xfId="0" applyFont="1"/>
    <xf numFmtId="0" fontId="0" fillId="0" borderId="0" xfId="0" applyAlignment="1">
      <alignment horizontal="right"/>
    </xf>
    <xf numFmtId="0" fontId="2" fillId="2" borderId="3" xfId="0" applyFont="1" applyFill="1" applyBorder="1"/>
    <xf numFmtId="0" fontId="2" fillId="2" borderId="4" xfId="0" applyFont="1" applyFill="1" applyBorder="1"/>
    <xf numFmtId="14" fontId="0" fillId="4" borderId="2" xfId="0" applyNumberFormat="1" applyFill="1" applyBorder="1"/>
    <xf numFmtId="166" fontId="0" fillId="4" borderId="2" xfId="0" applyNumberFormat="1" applyFill="1" applyBorder="1"/>
    <xf numFmtId="167" fontId="0" fillId="4" borderId="2" xfId="0" applyNumberFormat="1" applyFill="1" applyBorder="1"/>
    <xf numFmtId="0" fontId="0" fillId="4" borderId="2" xfId="0" applyFill="1" applyBorder="1"/>
    <xf numFmtId="164" fontId="0" fillId="4" borderId="2" xfId="0" applyNumberFormat="1" applyFill="1" applyBorder="1"/>
    <xf numFmtId="0" fontId="0" fillId="5" borderId="4" xfId="0" applyFill="1" applyBorder="1"/>
    <xf numFmtId="0" fontId="0" fillId="4" borderId="4" xfId="0" applyFill="1" applyBorder="1"/>
    <xf numFmtId="14" fontId="0" fillId="4" borderId="1" xfId="0" applyNumberFormat="1" applyFill="1" applyBorder="1"/>
    <xf numFmtId="166" fontId="0" fillId="4" borderId="1" xfId="0" applyNumberFormat="1" applyFill="1" applyBorder="1"/>
    <xf numFmtId="167" fontId="0" fillId="4" borderId="1" xfId="0" applyNumberFormat="1" applyFill="1" applyBorder="1"/>
    <xf numFmtId="164" fontId="0" fillId="4" borderId="1" xfId="0" applyNumberFormat="1" applyFill="1" applyBorder="1"/>
    <xf numFmtId="9" fontId="0" fillId="4" borderId="1" xfId="2" applyFont="1" applyFill="1" applyBorder="1"/>
    <xf numFmtId="0" fontId="0" fillId="4" borderId="5" xfId="0" applyFill="1" applyBorder="1"/>
    <xf numFmtId="10" fontId="0" fillId="5" borderId="4" xfId="2" applyNumberFormat="1" applyFont="1" applyFill="1" applyBorder="1"/>
    <xf numFmtId="10" fontId="0" fillId="4" borderId="4" xfId="2" applyNumberFormat="1" applyFont="1" applyFill="1" applyBorder="1"/>
    <xf numFmtId="10" fontId="0" fillId="4" borderId="5" xfId="2" applyNumberFormat="1" applyFont="1" applyFill="1" applyBorder="1"/>
    <xf numFmtId="10" fontId="0" fillId="4" borderId="3" xfId="2" applyNumberFormat="1" applyFont="1" applyFill="1" applyBorder="1"/>
    <xf numFmtId="0" fontId="0" fillId="3" borderId="6" xfId="0" applyFill="1" applyBorder="1"/>
    <xf numFmtId="166" fontId="0" fillId="3" borderId="6" xfId="0" applyNumberFormat="1" applyFill="1" applyBorder="1"/>
    <xf numFmtId="164" fontId="0" fillId="3" borderId="6" xfId="1" applyNumberFormat="1" applyFont="1" applyFill="1" applyBorder="1"/>
    <xf numFmtId="43" fontId="0" fillId="3" borderId="6" xfId="1" applyFont="1" applyFill="1" applyBorder="1"/>
    <xf numFmtId="10" fontId="0" fillId="4" borderId="2" xfId="2" applyNumberFormat="1" applyFont="1" applyFill="1" applyBorder="1"/>
    <xf numFmtId="10" fontId="0" fillId="4" borderId="1" xfId="2" applyNumberFormat="1" applyFont="1" applyFill="1" applyBorder="1"/>
    <xf numFmtId="9" fontId="0" fillId="0" borderId="0" xfId="0" applyNumberFormat="1" applyAlignment="1">
      <alignment horizontal="right"/>
    </xf>
    <xf numFmtId="168" fontId="0" fillId="4" borderId="2" xfId="0" applyNumberFormat="1" applyFill="1" applyBorder="1"/>
    <xf numFmtId="0" fontId="0" fillId="0" borderId="10" xfId="0" applyBorder="1"/>
    <xf numFmtId="2" fontId="0" fillId="0" borderId="8" xfId="0" applyNumberFormat="1" applyBorder="1"/>
    <xf numFmtId="0" fontId="0" fillId="3" borderId="7" xfId="0" applyFill="1" applyBorder="1"/>
    <xf numFmtId="0" fontId="0" fillId="3" borderId="9" xfId="0" applyFill="1" applyBorder="1"/>
    <xf numFmtId="49" fontId="2" fillId="2" borderId="2" xfId="0" applyNumberFormat="1" applyFont="1" applyFill="1" applyBorder="1" applyAlignment="1">
      <alignment horizontal="center"/>
    </xf>
    <xf numFmtId="2" fontId="0" fillId="0" borderId="0" xfId="0" applyNumberFormat="1"/>
    <xf numFmtId="10" fontId="0" fillId="0" borderId="0" xfId="1" applyNumberFormat="1" applyFont="1"/>
    <xf numFmtId="43" fontId="0" fillId="0" borderId="0" xfId="1" applyFont="1"/>
    <xf numFmtId="169" fontId="0" fillId="0" borderId="0" xfId="0" applyNumberFormat="1"/>
    <xf numFmtId="43" fontId="0" fillId="0" borderId="0" xfId="1" applyFont="1" applyFill="1"/>
    <xf numFmtId="164" fontId="1" fillId="0" borderId="0" xfId="1" applyNumberFormat="1" applyFont="1"/>
    <xf numFmtId="10" fontId="1" fillId="0" borderId="0" xfId="1" applyNumberFormat="1" applyFont="1"/>
    <xf numFmtId="0" fontId="0" fillId="0" borderId="0" xfId="1" applyNumberFormat="1" applyFont="1"/>
    <xf numFmtId="0" fontId="0" fillId="0" borderId="0" xfId="1" applyNumberFormat="1" applyFont="1" applyFill="1"/>
    <xf numFmtId="43" fontId="0" fillId="0" borderId="0" xfId="1" applyFont="1" applyAlignment="1"/>
    <xf numFmtId="0" fontId="0" fillId="0" borderId="0" xfId="0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redit-agricole.com/pdfPreview/19504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EF86-6772-426D-8D31-47F6D4633898}">
  <sheetPr codeName="Sheet1"/>
  <dimension ref="A1:S54"/>
  <sheetViews>
    <sheetView tabSelected="1" topLeftCell="A13" zoomScale="80" zoomScaleNormal="80" workbookViewId="0">
      <selection activeCell="I33" sqref="I33"/>
    </sheetView>
  </sheetViews>
  <sheetFormatPr defaultRowHeight="15" x14ac:dyDescent="0.25"/>
  <cols>
    <col min="1" max="1" width="17.85546875" bestFit="1" customWidth="1"/>
    <col min="2" max="2" width="18.42578125" bestFit="1" customWidth="1"/>
    <col min="3" max="3" width="15" bestFit="1" customWidth="1"/>
    <col min="4" max="4" width="15" customWidth="1"/>
    <col min="5" max="5" width="19" bestFit="1" customWidth="1"/>
    <col min="6" max="6" width="18.42578125" bestFit="1" customWidth="1"/>
    <col min="7" max="7" width="22.28515625" bestFit="1" customWidth="1"/>
    <col min="8" max="8" width="13" bestFit="1" customWidth="1"/>
    <col min="9" max="9" width="17.28515625" bestFit="1" customWidth="1"/>
    <col min="10" max="10" width="27" bestFit="1" customWidth="1"/>
    <col min="11" max="11" width="17.42578125" bestFit="1" customWidth="1"/>
    <col min="12" max="12" width="11.28515625" bestFit="1" customWidth="1"/>
    <col min="13" max="13" width="13.42578125" bestFit="1" customWidth="1"/>
    <col min="14" max="14" width="25.42578125" customWidth="1"/>
    <col min="15" max="15" width="19.5703125" bestFit="1" customWidth="1"/>
    <col min="18" max="18" width="10.85546875" bestFit="1" customWidth="1"/>
    <col min="19" max="19" width="29.7109375" bestFit="1" customWidth="1"/>
  </cols>
  <sheetData>
    <row r="1" spans="1:19" x14ac:dyDescent="0.25">
      <c r="A1" s="14" t="s">
        <v>2</v>
      </c>
      <c r="B1" s="15" t="s">
        <v>3</v>
      </c>
      <c r="F1" s="14" t="s">
        <v>4</v>
      </c>
      <c r="G1" s="3">
        <v>1</v>
      </c>
      <c r="J1" s="14" t="s">
        <v>38</v>
      </c>
      <c r="K1" s="4">
        <f>G3/K3</f>
        <v>415177606</v>
      </c>
      <c r="M1" s="14" t="s">
        <v>6</v>
      </c>
      <c r="N1" s="8" t="s">
        <v>7</v>
      </c>
      <c r="S1" s="8"/>
    </row>
    <row r="2" spans="1:19" x14ac:dyDescent="0.25">
      <c r="A2" s="14" t="s">
        <v>0</v>
      </c>
      <c r="B2" s="1">
        <v>44867</v>
      </c>
      <c r="F2" s="14" t="s">
        <v>24</v>
      </c>
      <c r="G2" s="2">
        <v>3.2000000000000001E-2</v>
      </c>
      <c r="J2" s="14" t="s">
        <v>25</v>
      </c>
      <c r="K2" s="6">
        <f>G2/4</f>
        <v>8.0000000000000002E-3</v>
      </c>
      <c r="M2" s="14" t="s">
        <v>8</v>
      </c>
      <c r="N2" t="s">
        <v>9</v>
      </c>
    </row>
    <row r="3" spans="1:19" x14ac:dyDescent="0.25">
      <c r="A3" s="14" t="s">
        <v>1</v>
      </c>
      <c r="B3" s="1">
        <v>48520</v>
      </c>
      <c r="C3" s="1"/>
      <c r="F3" s="14" t="s">
        <v>5</v>
      </c>
      <c r="G3" s="4">
        <v>415177606</v>
      </c>
      <c r="J3" s="14" t="s">
        <v>20</v>
      </c>
      <c r="K3" s="7">
        <v>1</v>
      </c>
      <c r="N3" s="4"/>
    </row>
    <row r="4" spans="1:19" x14ac:dyDescent="0.25">
      <c r="A4" s="14" t="s">
        <v>23</v>
      </c>
      <c r="B4" s="12" t="s">
        <v>12</v>
      </c>
      <c r="F4" s="14" t="s">
        <v>15</v>
      </c>
      <c r="G4" s="49">
        <v>3.236E-2</v>
      </c>
      <c r="J4" s="14"/>
      <c r="K4" s="41"/>
      <c r="N4" s="9"/>
    </row>
    <row r="6" spans="1:19" x14ac:dyDescent="0.25">
      <c r="A6" s="13" t="s">
        <v>13</v>
      </c>
      <c r="B6" s="13" t="s">
        <v>11</v>
      </c>
      <c r="C6" s="13" t="s">
        <v>21</v>
      </c>
      <c r="D6" s="47" t="s">
        <v>31</v>
      </c>
      <c r="E6" s="47" t="s">
        <v>32</v>
      </c>
      <c r="F6" s="13" t="s">
        <v>22</v>
      </c>
      <c r="G6" s="13" t="s">
        <v>26</v>
      </c>
      <c r="H6" s="13" t="s">
        <v>23</v>
      </c>
      <c r="I6" s="13" t="s">
        <v>27</v>
      </c>
      <c r="J6" s="13" t="s">
        <v>28</v>
      </c>
      <c r="K6" s="13" t="s">
        <v>30</v>
      </c>
      <c r="L6" s="13" t="s">
        <v>17</v>
      </c>
      <c r="M6" s="13" t="s">
        <v>14</v>
      </c>
      <c r="N6" s="16" t="s">
        <v>18</v>
      </c>
      <c r="O6" s="17" t="s">
        <v>16</v>
      </c>
    </row>
    <row r="7" spans="1:19" x14ac:dyDescent="0.25">
      <c r="A7" s="18">
        <v>44959</v>
      </c>
      <c r="B7" s="20">
        <f>$G$3*$K$2</f>
        <v>3321420.8480000002</v>
      </c>
      <c r="C7" s="20">
        <v>0.25</v>
      </c>
      <c r="D7" s="20">
        <f>C7+1</f>
        <v>1.25</v>
      </c>
      <c r="E7" s="42">
        <f>C7*D7*K7</f>
        <v>2.5000000000000001E-3</v>
      </c>
      <c r="F7" s="20">
        <f>B7/(1+$G$4/4)^(4*C7)</f>
        <v>3294766.1895267293</v>
      </c>
      <c r="G7" s="19">
        <f>B7/$K$1</f>
        <v>8.0000000000000002E-3</v>
      </c>
      <c r="H7" s="21">
        <v>0</v>
      </c>
      <c r="I7" s="19">
        <f>H7/(1+$G$4/4)^(C7*4)</f>
        <v>0</v>
      </c>
      <c r="J7" s="22">
        <f>I7/$K$1</f>
        <v>0</v>
      </c>
      <c r="K7" s="19">
        <f t="shared" ref="K7:K46" si="0">G7+J7</f>
        <v>8.0000000000000002E-3</v>
      </c>
      <c r="L7" s="19">
        <f>SUM(G8:$G$46)+SUM(J8:$J$46)</f>
        <v>1.0364822225183901</v>
      </c>
      <c r="M7" s="39">
        <f t="shared" ref="M7:M46" si="1">L7/$K$3</f>
        <v>1.0364822225183901</v>
      </c>
      <c r="N7" s="31">
        <v>0.98970000000000002</v>
      </c>
      <c r="O7" s="23" t="str">
        <f t="shared" ref="O7:O20" si="2">IF(M7&gt;N7,"Under-priced","Over-priced")</f>
        <v>Under-priced</v>
      </c>
    </row>
    <row r="8" spans="1:19" x14ac:dyDescent="0.25">
      <c r="A8" s="18">
        <v>45048</v>
      </c>
      <c r="B8" s="20">
        <f t="shared" ref="B8:B46" si="3">$G$3*$K$2</f>
        <v>3321420.8480000002</v>
      </c>
      <c r="C8" s="20">
        <v>0.5</v>
      </c>
      <c r="D8" s="20">
        <f t="shared" ref="D8:D46" si="4">C8+1</f>
        <v>1.5</v>
      </c>
      <c r="E8" s="42">
        <f t="shared" ref="E8:E46" si="5">C8*D8*K8</f>
        <v>6.0000000000000001E-3</v>
      </c>
      <c r="F8" s="20">
        <f t="shared" ref="F8:F46" si="6">B8/(1+$G$4/4)^(4*C8)</f>
        <v>3268325.436743475</v>
      </c>
      <c r="G8" s="19">
        <f t="shared" ref="G8:G46" si="7">B8/$K$1</f>
        <v>8.0000000000000002E-3</v>
      </c>
      <c r="H8" s="21">
        <v>0</v>
      </c>
      <c r="I8" s="19">
        <f t="shared" ref="I8:I45" si="8">H8/(1+$G$4/4)^(C8*4)</f>
        <v>0</v>
      </c>
      <c r="J8" s="22">
        <f t="shared" ref="J8:J46" si="9">I8/$K$1</f>
        <v>0</v>
      </c>
      <c r="K8" s="19">
        <f t="shared" si="0"/>
        <v>8.0000000000000002E-3</v>
      </c>
      <c r="L8" s="19">
        <f>SUM(G9:$G$46)+SUM(J9:$J$46)</f>
        <v>1.0284822225183901</v>
      </c>
      <c r="M8" s="39">
        <f t="shared" si="1"/>
        <v>1.0284822225183901</v>
      </c>
      <c r="N8" s="32">
        <v>0.90500000000000003</v>
      </c>
      <c r="O8" s="24" t="str">
        <f t="shared" si="2"/>
        <v>Under-priced</v>
      </c>
    </row>
    <row r="9" spans="1:19" x14ac:dyDescent="0.25">
      <c r="A9" s="18">
        <v>45140</v>
      </c>
      <c r="B9" s="20">
        <f t="shared" si="3"/>
        <v>3321420.8480000002</v>
      </c>
      <c r="C9" s="20">
        <v>0.75</v>
      </c>
      <c r="D9" s="20">
        <f t="shared" si="4"/>
        <v>1.75</v>
      </c>
      <c r="E9" s="42">
        <f t="shared" si="5"/>
        <v>1.0500000000000001E-2</v>
      </c>
      <c r="F9" s="20">
        <f t="shared" si="6"/>
        <v>3242096.8730405765</v>
      </c>
      <c r="G9" s="19">
        <f t="shared" si="7"/>
        <v>8.0000000000000002E-3</v>
      </c>
      <c r="H9" s="21">
        <v>0</v>
      </c>
      <c r="I9" s="19">
        <f t="shared" si="8"/>
        <v>0</v>
      </c>
      <c r="J9" s="22">
        <f t="shared" si="9"/>
        <v>0</v>
      </c>
      <c r="K9" s="19">
        <f t="shared" si="0"/>
        <v>8.0000000000000002E-3</v>
      </c>
      <c r="L9" s="19">
        <f>SUM(G10:$G$46)+SUM(J10:$J$46)</f>
        <v>1.02048222251839</v>
      </c>
      <c r="M9" s="39">
        <f t="shared" si="1"/>
        <v>1.02048222251839</v>
      </c>
      <c r="N9" s="31">
        <v>0.89510000000000001</v>
      </c>
      <c r="O9" s="23" t="str">
        <f t="shared" si="2"/>
        <v>Under-priced</v>
      </c>
    </row>
    <row r="10" spans="1:19" x14ac:dyDescent="0.25">
      <c r="A10" s="18">
        <v>45232</v>
      </c>
      <c r="B10" s="20">
        <f t="shared" si="3"/>
        <v>3321420.8480000002</v>
      </c>
      <c r="C10" s="20">
        <v>1</v>
      </c>
      <c r="D10" s="20">
        <f t="shared" si="4"/>
        <v>2</v>
      </c>
      <c r="E10" s="42">
        <f t="shared" si="5"/>
        <v>1.6E-2</v>
      </c>
      <c r="F10" s="20">
        <f t="shared" si="6"/>
        <v>3216078.7955843001</v>
      </c>
      <c r="G10" s="19">
        <f t="shared" si="7"/>
        <v>8.0000000000000002E-3</v>
      </c>
      <c r="H10" s="21">
        <v>0</v>
      </c>
      <c r="I10" s="19">
        <f t="shared" si="8"/>
        <v>0</v>
      </c>
      <c r="J10" s="22">
        <f t="shared" si="9"/>
        <v>0</v>
      </c>
      <c r="K10" s="19">
        <f t="shared" si="0"/>
        <v>8.0000000000000002E-3</v>
      </c>
      <c r="L10" s="19">
        <f>SUM(G11:$G$46)+SUM(J11:$J$46)</f>
        <v>1.01248222251839</v>
      </c>
      <c r="M10" s="39">
        <f t="shared" si="1"/>
        <v>1.01248222251839</v>
      </c>
      <c r="N10" s="32">
        <v>0.90900000000000003</v>
      </c>
      <c r="O10" s="24" t="str">
        <f t="shared" si="2"/>
        <v>Under-priced</v>
      </c>
    </row>
    <row r="11" spans="1:19" x14ac:dyDescent="0.25">
      <c r="A11" s="18">
        <v>45324</v>
      </c>
      <c r="B11" s="20">
        <f t="shared" si="3"/>
        <v>3321420.8480000002</v>
      </c>
      <c r="C11" s="20">
        <v>1.25</v>
      </c>
      <c r="D11" s="20">
        <f t="shared" si="4"/>
        <v>2.25</v>
      </c>
      <c r="E11" s="42">
        <f t="shared" si="5"/>
        <v>2.2499999999999999E-2</v>
      </c>
      <c r="F11" s="20">
        <f t="shared" si="6"/>
        <v>3190269.5152062816</v>
      </c>
      <c r="G11" s="19">
        <f t="shared" si="7"/>
        <v>8.0000000000000002E-3</v>
      </c>
      <c r="H11" s="21">
        <v>0</v>
      </c>
      <c r="I11" s="19">
        <f t="shared" si="8"/>
        <v>0</v>
      </c>
      <c r="J11" s="22">
        <f t="shared" si="9"/>
        <v>0</v>
      </c>
      <c r="K11" s="19">
        <f t="shared" si="0"/>
        <v>8.0000000000000002E-3</v>
      </c>
      <c r="L11" s="19">
        <f>SUM(G12:$G$46)+SUM(J12:$J$46)</f>
        <v>1.00448222251839</v>
      </c>
      <c r="M11" s="39">
        <f t="shared" si="1"/>
        <v>1.00448222251839</v>
      </c>
      <c r="N11" s="31">
        <v>0.94750000000000001</v>
      </c>
      <c r="O11" s="23" t="str">
        <f t="shared" si="2"/>
        <v>Under-priced</v>
      </c>
    </row>
    <row r="12" spans="1:19" x14ac:dyDescent="0.25">
      <c r="A12" s="18">
        <v>45414</v>
      </c>
      <c r="B12" s="20">
        <f t="shared" si="3"/>
        <v>3321420.8480000002</v>
      </c>
      <c r="C12" s="20">
        <v>1.5</v>
      </c>
      <c r="D12" s="20">
        <f t="shared" si="4"/>
        <v>2.5</v>
      </c>
      <c r="E12" s="42">
        <f t="shared" si="5"/>
        <v>0.03</v>
      </c>
      <c r="F12" s="20">
        <f t="shared" si="6"/>
        <v>3164667.3562938645</v>
      </c>
      <c r="G12" s="19">
        <f t="shared" si="7"/>
        <v>8.0000000000000002E-3</v>
      </c>
      <c r="H12" s="21">
        <v>0</v>
      </c>
      <c r="I12" s="19">
        <f t="shared" si="8"/>
        <v>0</v>
      </c>
      <c r="J12" s="22">
        <f t="shared" si="9"/>
        <v>0</v>
      </c>
      <c r="K12" s="19">
        <f t="shared" si="0"/>
        <v>8.0000000000000002E-3</v>
      </c>
      <c r="L12" s="19">
        <f>SUM(G13:$G$46)+SUM(J13:$J$46)</f>
        <v>0.99648222251839003</v>
      </c>
      <c r="M12" s="39">
        <f t="shared" si="1"/>
        <v>0.99648222251839003</v>
      </c>
      <c r="N12" s="32">
        <v>0.94199999999999995</v>
      </c>
      <c r="O12" s="24" t="str">
        <f t="shared" si="2"/>
        <v>Under-priced</v>
      </c>
    </row>
    <row r="13" spans="1:19" x14ac:dyDescent="0.25">
      <c r="A13" s="18">
        <v>45506</v>
      </c>
      <c r="B13" s="20">
        <f t="shared" si="3"/>
        <v>3321420.8480000002</v>
      </c>
      <c r="C13" s="20">
        <v>1.75</v>
      </c>
      <c r="D13" s="20">
        <f t="shared" si="4"/>
        <v>2.75</v>
      </c>
      <c r="E13" s="42">
        <f t="shared" si="5"/>
        <v>3.85E-2</v>
      </c>
      <c r="F13" s="20">
        <f t="shared" si="6"/>
        <v>3139270.6566813122</v>
      </c>
      <c r="G13" s="19">
        <f t="shared" si="7"/>
        <v>8.0000000000000002E-3</v>
      </c>
      <c r="H13" s="21">
        <v>0</v>
      </c>
      <c r="I13" s="19">
        <f t="shared" si="8"/>
        <v>0</v>
      </c>
      <c r="J13" s="22">
        <f t="shared" si="9"/>
        <v>0</v>
      </c>
      <c r="K13" s="19">
        <f t="shared" si="0"/>
        <v>8.0000000000000002E-3</v>
      </c>
      <c r="L13" s="19">
        <f>SUM(G14:$G$46)+SUM(J14:$J$46)</f>
        <v>0.98848222251839002</v>
      </c>
      <c r="M13" s="39">
        <f t="shared" si="1"/>
        <v>0.98848222251839002</v>
      </c>
      <c r="N13" s="31">
        <v>0.96460000000000001</v>
      </c>
      <c r="O13" s="23" t="str">
        <f t="shared" si="2"/>
        <v>Under-priced</v>
      </c>
    </row>
    <row r="14" spans="1:19" x14ac:dyDescent="0.25">
      <c r="A14" s="18">
        <v>45598</v>
      </c>
      <c r="B14" s="20">
        <f t="shared" si="3"/>
        <v>3321420.8480000002</v>
      </c>
      <c r="C14" s="20">
        <v>2</v>
      </c>
      <c r="D14" s="20">
        <f t="shared" si="4"/>
        <v>3</v>
      </c>
      <c r="E14" s="42">
        <f t="shared" si="5"/>
        <v>4.8000000000000001E-2</v>
      </c>
      <c r="F14" s="20">
        <f t="shared" si="6"/>
        <v>3114077.7675418989</v>
      </c>
      <c r="G14" s="19">
        <f t="shared" si="7"/>
        <v>8.0000000000000002E-3</v>
      </c>
      <c r="H14" s="21">
        <v>0</v>
      </c>
      <c r="I14" s="19">
        <f t="shared" si="8"/>
        <v>0</v>
      </c>
      <c r="J14" s="22">
        <f t="shared" si="9"/>
        <v>0</v>
      </c>
      <c r="K14" s="19">
        <f t="shared" si="0"/>
        <v>8.0000000000000002E-3</v>
      </c>
      <c r="L14" s="19">
        <f>SUM(G15:$G$46)+SUM(J15:$J$46)</f>
        <v>0.98048222251839001</v>
      </c>
      <c r="M14" s="39">
        <f t="shared" si="1"/>
        <v>0.98048222251839001</v>
      </c>
      <c r="N14" s="32">
        <v>0.97499999999999998</v>
      </c>
      <c r="O14" s="24" t="str">
        <f t="shared" si="2"/>
        <v>Under-priced</v>
      </c>
    </row>
    <row r="15" spans="1:19" x14ac:dyDescent="0.25">
      <c r="A15" s="18">
        <v>45690</v>
      </c>
      <c r="B15" s="20">
        <f t="shared" si="3"/>
        <v>3321420.8480000002</v>
      </c>
      <c r="C15" s="20">
        <v>2.25</v>
      </c>
      <c r="D15" s="20">
        <f t="shared" si="4"/>
        <v>3.25</v>
      </c>
      <c r="E15" s="42">
        <f t="shared" si="5"/>
        <v>5.8500000000000003E-2</v>
      </c>
      <c r="F15" s="20">
        <f t="shared" si="6"/>
        <v>3089087.0532808574</v>
      </c>
      <c r="G15" s="19">
        <f t="shared" si="7"/>
        <v>8.0000000000000002E-3</v>
      </c>
      <c r="H15" s="21">
        <v>0</v>
      </c>
      <c r="I15" s="19">
        <f t="shared" si="8"/>
        <v>0</v>
      </c>
      <c r="J15" s="22">
        <f t="shared" si="9"/>
        <v>0</v>
      </c>
      <c r="K15" s="19">
        <f t="shared" si="0"/>
        <v>8.0000000000000002E-3</v>
      </c>
      <c r="L15" s="19">
        <f>SUM(G16:$G$46)+SUM(J16:$J$46)</f>
        <v>0.97248222251839</v>
      </c>
      <c r="M15" s="39">
        <f t="shared" si="1"/>
        <v>0.97248222251839</v>
      </c>
      <c r="N15" s="31">
        <v>0.97</v>
      </c>
      <c r="O15" s="23" t="str">
        <f t="shared" si="2"/>
        <v>Under-priced</v>
      </c>
    </row>
    <row r="16" spans="1:19" x14ac:dyDescent="0.25">
      <c r="A16" s="18">
        <v>45779</v>
      </c>
      <c r="B16" s="20">
        <f t="shared" si="3"/>
        <v>3321420.8480000002</v>
      </c>
      <c r="C16" s="20">
        <v>2.5</v>
      </c>
      <c r="D16" s="20">
        <f t="shared" si="4"/>
        <v>3.5</v>
      </c>
      <c r="E16" s="42">
        <f t="shared" si="5"/>
        <v>7.0000000000000007E-2</v>
      </c>
      <c r="F16" s="20">
        <f t="shared" si="6"/>
        <v>3064296.8914291947</v>
      </c>
      <c r="G16" s="19">
        <f t="shared" si="7"/>
        <v>8.0000000000000002E-3</v>
      </c>
      <c r="H16" s="21">
        <v>0</v>
      </c>
      <c r="I16" s="19">
        <f t="shared" si="8"/>
        <v>0</v>
      </c>
      <c r="J16" s="22">
        <f t="shared" si="9"/>
        <v>0</v>
      </c>
      <c r="K16" s="19">
        <f t="shared" si="0"/>
        <v>8.0000000000000002E-3</v>
      </c>
      <c r="L16" s="19">
        <f>SUM(G17:$G$46)+SUM(J17:$J$46)</f>
        <v>0.96448222251839</v>
      </c>
      <c r="M16" s="39">
        <f t="shared" si="1"/>
        <v>0.96448222251839</v>
      </c>
      <c r="N16" s="32">
        <v>0.98099999999999998</v>
      </c>
      <c r="O16" s="24" t="str">
        <f t="shared" si="2"/>
        <v>Over-priced</v>
      </c>
    </row>
    <row r="17" spans="1:15" x14ac:dyDescent="0.25">
      <c r="A17" s="18">
        <v>45871</v>
      </c>
      <c r="B17" s="20">
        <f t="shared" si="3"/>
        <v>3321420.8480000002</v>
      </c>
      <c r="C17" s="20">
        <v>2.75</v>
      </c>
      <c r="D17" s="20">
        <f t="shared" si="4"/>
        <v>3.75</v>
      </c>
      <c r="E17" s="42">
        <f t="shared" si="5"/>
        <v>8.2500000000000004E-2</v>
      </c>
      <c r="F17" s="20">
        <f>B17/(1+$G$4/4)^(4*C17)</f>
        <v>3039705.6725383596</v>
      </c>
      <c r="G17" s="19">
        <f t="shared" si="7"/>
        <v>8.0000000000000002E-3</v>
      </c>
      <c r="H17" s="21">
        <v>0</v>
      </c>
      <c r="I17" s="19">
        <f t="shared" si="8"/>
        <v>0</v>
      </c>
      <c r="J17" s="22">
        <f t="shared" si="9"/>
        <v>0</v>
      </c>
      <c r="K17" s="19">
        <f t="shared" si="0"/>
        <v>8.0000000000000002E-3</v>
      </c>
      <c r="L17" s="19">
        <f>SUM(G18:$G$46)+SUM(J18:$J$46)</f>
        <v>0.95648222251838999</v>
      </c>
      <c r="M17" s="39">
        <f t="shared" si="1"/>
        <v>0.95648222251838999</v>
      </c>
      <c r="N17" s="31">
        <v>0.98609999999999998</v>
      </c>
      <c r="O17" s="23" t="str">
        <f t="shared" si="2"/>
        <v>Over-priced</v>
      </c>
    </row>
    <row r="18" spans="1:15" x14ac:dyDescent="0.25">
      <c r="A18" s="18">
        <v>45963</v>
      </c>
      <c r="B18" s="20">
        <f t="shared" si="3"/>
        <v>3321420.8480000002</v>
      </c>
      <c r="C18" s="20">
        <v>3</v>
      </c>
      <c r="D18" s="20">
        <f t="shared" si="4"/>
        <v>4</v>
      </c>
      <c r="E18" s="42">
        <f t="shared" si="5"/>
        <v>9.6000000000000002E-2</v>
      </c>
      <c r="F18" s="20">
        <f t="shared" si="6"/>
        <v>3015311.8000757475</v>
      </c>
      <c r="G18" s="19">
        <f t="shared" si="7"/>
        <v>8.0000000000000002E-3</v>
      </c>
      <c r="H18" s="21">
        <v>0</v>
      </c>
      <c r="I18" s="19">
        <f t="shared" si="8"/>
        <v>0</v>
      </c>
      <c r="J18" s="22">
        <f t="shared" si="9"/>
        <v>0</v>
      </c>
      <c r="K18" s="19">
        <f t="shared" si="0"/>
        <v>8.0000000000000002E-3</v>
      </c>
      <c r="L18" s="19">
        <f>SUM(G19:$G$46)+SUM(J19:$J$46)</f>
        <v>0.94848222251838998</v>
      </c>
      <c r="M18" s="39">
        <f t="shared" si="1"/>
        <v>0.94848222251838998</v>
      </c>
      <c r="N18" s="32">
        <v>0.99809999999999999</v>
      </c>
      <c r="O18" s="24" t="str">
        <f t="shared" si="2"/>
        <v>Over-priced</v>
      </c>
    </row>
    <row r="19" spans="1:15" x14ac:dyDescent="0.25">
      <c r="A19" s="18">
        <v>46055</v>
      </c>
      <c r="B19" s="20">
        <f t="shared" si="3"/>
        <v>3321420.8480000002</v>
      </c>
      <c r="C19" s="20">
        <v>3.25</v>
      </c>
      <c r="D19" s="20">
        <f t="shared" si="4"/>
        <v>4.25</v>
      </c>
      <c r="E19" s="42">
        <f t="shared" si="5"/>
        <v>0.1105</v>
      </c>
      <c r="F19" s="20">
        <f t="shared" si="6"/>
        <v>2991113.6903210506</v>
      </c>
      <c r="G19" s="19">
        <f t="shared" si="7"/>
        <v>8.0000000000000002E-3</v>
      </c>
      <c r="H19" s="21">
        <v>0</v>
      </c>
      <c r="I19" s="19">
        <f t="shared" si="8"/>
        <v>0</v>
      </c>
      <c r="J19" s="22">
        <f t="shared" si="9"/>
        <v>0</v>
      </c>
      <c r="K19" s="19">
        <f t="shared" si="0"/>
        <v>8.0000000000000002E-3</v>
      </c>
      <c r="L19" s="19">
        <f>SUM(G20:$G$46)+SUM(J20:$J$46)</f>
        <v>0.94048222251838998</v>
      </c>
      <c r="M19" s="39">
        <f t="shared" si="1"/>
        <v>0.94048222251838998</v>
      </c>
      <c r="N19" s="31">
        <v>0.9889</v>
      </c>
      <c r="O19" s="23" t="str">
        <f t="shared" si="2"/>
        <v>Over-priced</v>
      </c>
    </row>
    <row r="20" spans="1:15" x14ac:dyDescent="0.25">
      <c r="A20" s="18">
        <v>46144</v>
      </c>
      <c r="B20" s="20">
        <f t="shared" si="3"/>
        <v>3321420.8480000002</v>
      </c>
      <c r="C20" s="20">
        <v>3.5</v>
      </c>
      <c r="D20" s="20">
        <f t="shared" si="4"/>
        <v>4.5</v>
      </c>
      <c r="E20" s="42">
        <f t="shared" si="5"/>
        <v>0.126</v>
      </c>
      <c r="F20" s="20">
        <f t="shared" si="6"/>
        <v>2967109.7722634398</v>
      </c>
      <c r="G20" s="19">
        <f t="shared" si="7"/>
        <v>8.0000000000000002E-3</v>
      </c>
      <c r="H20" s="21">
        <v>0</v>
      </c>
      <c r="I20" s="19">
        <f t="shared" si="8"/>
        <v>0</v>
      </c>
      <c r="J20" s="22">
        <f t="shared" si="9"/>
        <v>0</v>
      </c>
      <c r="K20" s="19">
        <f t="shared" si="0"/>
        <v>8.0000000000000002E-3</v>
      </c>
      <c r="L20" s="19">
        <f>SUM(G21:$G$46)+SUM(J21:$J$46)</f>
        <v>0.93248222251838997</v>
      </c>
      <c r="M20" s="39">
        <f t="shared" si="1"/>
        <v>0.93248222251838997</v>
      </c>
      <c r="N20" s="32">
        <v>0.98499999999999999</v>
      </c>
      <c r="O20" s="24" t="str">
        <f t="shared" si="2"/>
        <v>Over-priced</v>
      </c>
    </row>
    <row r="21" spans="1:15" x14ac:dyDescent="0.25">
      <c r="A21" s="18">
        <v>46236</v>
      </c>
      <c r="B21" s="20">
        <f t="shared" si="3"/>
        <v>3321420.8480000002</v>
      </c>
      <c r="C21" s="20">
        <v>3.75</v>
      </c>
      <c r="D21" s="20">
        <f t="shared" si="4"/>
        <v>4.75</v>
      </c>
      <c r="E21" s="42">
        <f t="shared" si="5"/>
        <v>0.14250000000000002</v>
      </c>
      <c r="F21" s="20">
        <f t="shared" si="6"/>
        <v>2943298.4874995677</v>
      </c>
      <c r="G21" s="19">
        <f t="shared" si="7"/>
        <v>8.0000000000000002E-3</v>
      </c>
      <c r="H21" s="21">
        <v>0</v>
      </c>
      <c r="I21" s="19">
        <f t="shared" si="8"/>
        <v>0</v>
      </c>
      <c r="J21" s="22">
        <f t="shared" si="9"/>
        <v>0</v>
      </c>
      <c r="K21" s="19">
        <f t="shared" si="0"/>
        <v>8.0000000000000002E-3</v>
      </c>
      <c r="L21" s="19">
        <f>SUM(G22:$G$46)+SUM(J22:$J$46)</f>
        <v>0.92448222251838996</v>
      </c>
      <c r="M21" s="39">
        <f t="shared" si="1"/>
        <v>0.92448222251838996</v>
      </c>
      <c r="N21" s="31"/>
      <c r="O21" s="23"/>
    </row>
    <row r="22" spans="1:15" x14ac:dyDescent="0.25">
      <c r="A22" s="18">
        <v>46328</v>
      </c>
      <c r="B22" s="20">
        <f t="shared" si="3"/>
        <v>3321420.8480000002</v>
      </c>
      <c r="C22" s="20">
        <v>4</v>
      </c>
      <c r="D22" s="20">
        <f t="shared" si="4"/>
        <v>5</v>
      </c>
      <c r="E22" s="42">
        <f t="shared" si="5"/>
        <v>0.16</v>
      </c>
      <c r="F22" s="20">
        <f t="shared" si="6"/>
        <v>2919678.2901323973</v>
      </c>
      <c r="G22" s="19">
        <f t="shared" si="7"/>
        <v>8.0000000000000002E-3</v>
      </c>
      <c r="H22" s="21">
        <v>0</v>
      </c>
      <c r="I22" s="19">
        <f t="shared" si="8"/>
        <v>0</v>
      </c>
      <c r="J22" s="22">
        <f t="shared" si="9"/>
        <v>0</v>
      </c>
      <c r="K22" s="19">
        <f t="shared" si="0"/>
        <v>8.0000000000000002E-3</v>
      </c>
      <c r="L22" s="19">
        <f>SUM(G23:$G$46)+SUM(J23:$J$46)</f>
        <v>0.91648222251838996</v>
      </c>
      <c r="M22" s="39">
        <f t="shared" si="1"/>
        <v>0.91648222251838996</v>
      </c>
      <c r="N22" s="32"/>
      <c r="O22" s="24"/>
    </row>
    <row r="23" spans="1:15" x14ac:dyDescent="0.25">
      <c r="A23" s="18">
        <v>46420</v>
      </c>
      <c r="B23" s="20">
        <f t="shared" si="3"/>
        <v>3321420.8480000002</v>
      </c>
      <c r="C23" s="20">
        <v>4.25</v>
      </c>
      <c r="D23" s="20">
        <f t="shared" si="4"/>
        <v>5.25</v>
      </c>
      <c r="E23" s="42">
        <f t="shared" si="5"/>
        <v>0.17849999999999999</v>
      </c>
      <c r="F23" s="20">
        <f t="shared" si="6"/>
        <v>2896247.6466708304</v>
      </c>
      <c r="G23" s="19">
        <f t="shared" si="7"/>
        <v>8.0000000000000002E-3</v>
      </c>
      <c r="H23" s="21">
        <v>0</v>
      </c>
      <c r="I23" s="19">
        <f t="shared" si="8"/>
        <v>0</v>
      </c>
      <c r="J23" s="22">
        <f t="shared" si="9"/>
        <v>0</v>
      </c>
      <c r="K23" s="19">
        <f t="shared" si="0"/>
        <v>8.0000000000000002E-3</v>
      </c>
      <c r="L23" s="19">
        <f>SUM(G24:$G$46)+SUM(J24:$J$46)</f>
        <v>0.90848222251838995</v>
      </c>
      <c r="M23" s="39">
        <f t="shared" si="1"/>
        <v>0.90848222251838995</v>
      </c>
      <c r="N23" s="31"/>
      <c r="O23" s="23"/>
    </row>
    <row r="24" spans="1:15" x14ac:dyDescent="0.25">
      <c r="A24" s="18">
        <v>46509</v>
      </c>
      <c r="B24" s="20">
        <f t="shared" si="3"/>
        <v>3321420.8480000002</v>
      </c>
      <c r="C24" s="20">
        <v>4.5</v>
      </c>
      <c r="D24" s="20">
        <f t="shared" si="4"/>
        <v>5.5</v>
      </c>
      <c r="E24" s="42">
        <f t="shared" si="5"/>
        <v>0.19800000000000001</v>
      </c>
      <c r="F24" s="20">
        <f t="shared" si="6"/>
        <v>2873005.0359301553</v>
      </c>
      <c r="G24" s="19">
        <f t="shared" si="7"/>
        <v>8.0000000000000002E-3</v>
      </c>
      <c r="H24" s="21">
        <v>0</v>
      </c>
      <c r="I24" s="19">
        <f t="shared" si="8"/>
        <v>0</v>
      </c>
      <c r="J24" s="22">
        <f t="shared" si="9"/>
        <v>0</v>
      </c>
      <c r="K24" s="19">
        <f t="shared" si="0"/>
        <v>8.0000000000000002E-3</v>
      </c>
      <c r="L24" s="19">
        <f>SUM(G25:$G$46)+SUM(J25:$J$46)</f>
        <v>0.90048222251838994</v>
      </c>
      <c r="M24" s="39">
        <f t="shared" si="1"/>
        <v>0.90048222251838994</v>
      </c>
      <c r="N24" s="32"/>
      <c r="O24" s="24"/>
    </row>
    <row r="25" spans="1:15" x14ac:dyDescent="0.25">
      <c r="A25" s="18">
        <v>46601</v>
      </c>
      <c r="B25" s="20">
        <f t="shared" si="3"/>
        <v>3321420.8480000002</v>
      </c>
      <c r="C25" s="20">
        <v>4.75</v>
      </c>
      <c r="D25" s="20">
        <f t="shared" si="4"/>
        <v>5.75</v>
      </c>
      <c r="E25" s="42">
        <f t="shared" si="5"/>
        <v>0.2185</v>
      </c>
      <c r="F25" s="20">
        <f t="shared" si="6"/>
        <v>2849948.9489332857</v>
      </c>
      <c r="G25" s="19">
        <f t="shared" si="7"/>
        <v>8.0000000000000002E-3</v>
      </c>
      <c r="H25" s="21">
        <v>0</v>
      </c>
      <c r="I25" s="19">
        <f t="shared" si="8"/>
        <v>0</v>
      </c>
      <c r="J25" s="22">
        <f t="shared" si="9"/>
        <v>0</v>
      </c>
      <c r="K25" s="19">
        <f t="shared" si="0"/>
        <v>8.0000000000000002E-3</v>
      </c>
      <c r="L25" s="19">
        <f>SUM(G26:$G$46)+SUM(J26:$J$46)</f>
        <v>0.89248222251838993</v>
      </c>
      <c r="M25" s="39">
        <f t="shared" si="1"/>
        <v>0.89248222251838993</v>
      </c>
      <c r="N25" s="31"/>
      <c r="O25" s="23"/>
    </row>
    <row r="26" spans="1:15" x14ac:dyDescent="0.25">
      <c r="A26" s="18">
        <v>46693</v>
      </c>
      <c r="B26" s="20">
        <f t="shared" si="3"/>
        <v>3321420.8480000002</v>
      </c>
      <c r="C26" s="20">
        <v>5</v>
      </c>
      <c r="D26" s="20">
        <f t="shared" si="4"/>
        <v>6</v>
      </c>
      <c r="E26" s="42">
        <f t="shared" si="5"/>
        <v>0.24</v>
      </c>
      <c r="F26" s="20">
        <f t="shared" si="6"/>
        <v>2827077.8888127906</v>
      </c>
      <c r="G26" s="19">
        <f t="shared" si="7"/>
        <v>8.0000000000000002E-3</v>
      </c>
      <c r="H26" s="21">
        <v>0</v>
      </c>
      <c r="I26" s="19">
        <f t="shared" si="8"/>
        <v>0</v>
      </c>
      <c r="J26" s="22">
        <f t="shared" si="9"/>
        <v>0</v>
      </c>
      <c r="K26" s="19">
        <f t="shared" si="0"/>
        <v>8.0000000000000002E-3</v>
      </c>
      <c r="L26" s="19">
        <f>SUM(G27:$G$46)+SUM(J27:$J$46)</f>
        <v>0.88448222251838993</v>
      </c>
      <c r="M26" s="39">
        <f t="shared" si="1"/>
        <v>0.88448222251838993</v>
      </c>
      <c r="N26" s="32"/>
      <c r="O26" s="24"/>
    </row>
    <row r="27" spans="1:15" x14ac:dyDescent="0.25">
      <c r="A27" s="18">
        <v>46785</v>
      </c>
      <c r="B27" s="20">
        <f t="shared" si="3"/>
        <v>3321420.8480000002</v>
      </c>
      <c r="C27" s="20">
        <v>5.25</v>
      </c>
      <c r="D27" s="20">
        <f t="shared" si="4"/>
        <v>6.25</v>
      </c>
      <c r="E27" s="42">
        <f t="shared" si="5"/>
        <v>0.26250000000000001</v>
      </c>
      <c r="F27" s="20">
        <f t="shared" si="6"/>
        <v>2804390.3707137164</v>
      </c>
      <c r="G27" s="19">
        <f t="shared" si="7"/>
        <v>8.0000000000000002E-3</v>
      </c>
      <c r="H27" s="21">
        <v>0</v>
      </c>
      <c r="I27" s="19">
        <f t="shared" si="8"/>
        <v>0</v>
      </c>
      <c r="J27" s="22">
        <f t="shared" si="9"/>
        <v>0</v>
      </c>
      <c r="K27" s="19">
        <f t="shared" si="0"/>
        <v>8.0000000000000002E-3</v>
      </c>
      <c r="L27" s="19">
        <f>SUM(G28:$G$46)+SUM(J28:$J$46)</f>
        <v>0.87648222251838992</v>
      </c>
      <c r="M27" s="39">
        <f t="shared" si="1"/>
        <v>0.87648222251838992</v>
      </c>
      <c r="N27" s="31"/>
      <c r="O27" s="23"/>
    </row>
    <row r="28" spans="1:15" x14ac:dyDescent="0.25">
      <c r="A28" s="18">
        <v>46875</v>
      </c>
      <c r="B28" s="20">
        <f t="shared" si="3"/>
        <v>3321420.8480000002</v>
      </c>
      <c r="C28" s="20">
        <v>5.5</v>
      </c>
      <c r="D28" s="20">
        <f t="shared" si="4"/>
        <v>6.5</v>
      </c>
      <c r="E28" s="42">
        <f t="shared" si="5"/>
        <v>0.28600000000000003</v>
      </c>
      <c r="F28" s="20">
        <f t="shared" si="6"/>
        <v>2781884.9216971863</v>
      </c>
      <c r="G28" s="19">
        <f t="shared" si="7"/>
        <v>8.0000000000000002E-3</v>
      </c>
      <c r="H28" s="21">
        <v>0</v>
      </c>
      <c r="I28" s="19">
        <f t="shared" si="8"/>
        <v>0</v>
      </c>
      <c r="J28" s="22">
        <f t="shared" si="9"/>
        <v>0</v>
      </c>
      <c r="K28" s="19">
        <f t="shared" si="0"/>
        <v>8.0000000000000002E-3</v>
      </c>
      <c r="L28" s="19">
        <f>SUM(G29:$G$46)+SUM(J29:$J$46)</f>
        <v>0.86848222251838991</v>
      </c>
      <c r="M28" s="39">
        <f t="shared" si="1"/>
        <v>0.86848222251838991</v>
      </c>
      <c r="N28" s="33"/>
      <c r="O28" s="24"/>
    </row>
    <row r="29" spans="1:15" x14ac:dyDescent="0.25">
      <c r="A29" s="18">
        <v>46967</v>
      </c>
      <c r="B29" s="20">
        <f t="shared" si="3"/>
        <v>3321420.8480000002</v>
      </c>
      <c r="C29" s="20">
        <v>5.75</v>
      </c>
      <c r="D29" s="20">
        <f t="shared" si="4"/>
        <v>6.75</v>
      </c>
      <c r="E29" s="42">
        <f t="shared" si="5"/>
        <v>0.3105</v>
      </c>
      <c r="F29" s="20">
        <f t="shared" si="6"/>
        <v>2759560.0806447701</v>
      </c>
      <c r="G29" s="19">
        <f t="shared" si="7"/>
        <v>8.0000000000000002E-3</v>
      </c>
      <c r="H29" s="21">
        <v>0</v>
      </c>
      <c r="I29" s="19">
        <f t="shared" si="8"/>
        <v>0</v>
      </c>
      <c r="J29" s="22">
        <f t="shared" si="9"/>
        <v>0</v>
      </c>
      <c r="K29" s="19">
        <f t="shared" si="0"/>
        <v>8.0000000000000002E-3</v>
      </c>
      <c r="L29" s="19">
        <f>SUM(G30:$G$46)+SUM(J30:$J$46)</f>
        <v>0.86048222251838991</v>
      </c>
      <c r="M29" s="39">
        <f t="shared" si="1"/>
        <v>0.86048222251838991</v>
      </c>
      <c r="N29" s="31"/>
      <c r="O29" s="23"/>
    </row>
    <row r="30" spans="1:15" x14ac:dyDescent="0.25">
      <c r="A30" s="18">
        <v>47059</v>
      </c>
      <c r="B30" s="20">
        <f t="shared" si="3"/>
        <v>3321420.8480000002</v>
      </c>
      <c r="C30" s="20">
        <v>6</v>
      </c>
      <c r="D30" s="20">
        <f t="shared" si="4"/>
        <v>7</v>
      </c>
      <c r="E30" s="42">
        <f t="shared" si="5"/>
        <v>0.33600000000000002</v>
      </c>
      <c r="F30" s="20">
        <f t="shared" si="6"/>
        <v>2737414.3981636269</v>
      </c>
      <c r="G30" s="19">
        <f t="shared" si="7"/>
        <v>8.0000000000000002E-3</v>
      </c>
      <c r="H30" s="21">
        <v>0</v>
      </c>
      <c r="I30" s="19">
        <f t="shared" si="8"/>
        <v>0</v>
      </c>
      <c r="J30" s="22">
        <f t="shared" si="9"/>
        <v>0</v>
      </c>
      <c r="K30" s="19">
        <f t="shared" si="0"/>
        <v>8.0000000000000002E-3</v>
      </c>
      <c r="L30" s="19">
        <f>SUM(G31:$G$46)+SUM(J31:$J$46)</f>
        <v>0.8524822225183899</v>
      </c>
      <c r="M30" s="39">
        <f t="shared" si="1"/>
        <v>0.8524822225183899</v>
      </c>
      <c r="N30" s="32"/>
      <c r="O30" s="24"/>
    </row>
    <row r="31" spans="1:15" x14ac:dyDescent="0.25">
      <c r="A31" s="18">
        <v>47151</v>
      </c>
      <c r="B31" s="20">
        <f t="shared" si="3"/>
        <v>3321420.8480000002</v>
      </c>
      <c r="C31" s="20">
        <v>6.25</v>
      </c>
      <c r="D31" s="20">
        <f t="shared" si="4"/>
        <v>7.25</v>
      </c>
      <c r="E31" s="42">
        <f t="shared" si="5"/>
        <v>0.36249999999999999</v>
      </c>
      <c r="F31" s="20">
        <f t="shared" si="6"/>
        <v>2715446.436492404</v>
      </c>
      <c r="G31" s="19">
        <f t="shared" si="7"/>
        <v>8.0000000000000002E-3</v>
      </c>
      <c r="H31" s="21">
        <v>0</v>
      </c>
      <c r="I31" s="19">
        <f t="shared" si="8"/>
        <v>0</v>
      </c>
      <c r="J31" s="22">
        <f t="shared" si="9"/>
        <v>0</v>
      </c>
      <c r="K31" s="19">
        <f t="shared" si="0"/>
        <v>8.0000000000000002E-3</v>
      </c>
      <c r="L31" s="19">
        <f>SUM(G32:$G$46)+SUM(J32:$J$46)</f>
        <v>0.84448222251838989</v>
      </c>
      <c r="M31" s="39">
        <f t="shared" si="1"/>
        <v>0.84448222251838989</v>
      </c>
      <c r="N31" s="31"/>
      <c r="O31" s="23"/>
    </row>
    <row r="32" spans="1:15" x14ac:dyDescent="0.25">
      <c r="A32" s="18">
        <v>47240</v>
      </c>
      <c r="B32" s="20">
        <f t="shared" si="3"/>
        <v>3321420.8480000002</v>
      </c>
      <c r="C32" s="20">
        <v>6.5</v>
      </c>
      <c r="D32" s="20">
        <f t="shared" si="4"/>
        <v>7.5</v>
      </c>
      <c r="E32" s="42">
        <f t="shared" si="5"/>
        <v>0.39</v>
      </c>
      <c r="F32" s="20">
        <f t="shared" si="6"/>
        <v>2693654.769407894</v>
      </c>
      <c r="G32" s="19">
        <f t="shared" si="7"/>
        <v>8.0000000000000002E-3</v>
      </c>
      <c r="H32" s="21">
        <v>0</v>
      </c>
      <c r="I32" s="19">
        <f t="shared" si="8"/>
        <v>0</v>
      </c>
      <c r="J32" s="22">
        <f t="shared" si="9"/>
        <v>0</v>
      </c>
      <c r="K32" s="19">
        <f t="shared" si="0"/>
        <v>8.0000000000000002E-3</v>
      </c>
      <c r="L32" s="19">
        <f>SUM(G33:$G$46)+SUM(J33:$J$46)</f>
        <v>0.83648222251838988</v>
      </c>
      <c r="M32" s="39">
        <f t="shared" si="1"/>
        <v>0.83648222251838988</v>
      </c>
      <c r="N32" s="34"/>
      <c r="O32" s="24"/>
    </row>
    <row r="33" spans="1:15" x14ac:dyDescent="0.25">
      <c r="A33" s="18">
        <v>47332</v>
      </c>
      <c r="B33" s="20">
        <f t="shared" si="3"/>
        <v>3321420.8480000002</v>
      </c>
      <c r="C33" s="20">
        <v>6.75</v>
      </c>
      <c r="D33" s="20">
        <f t="shared" si="4"/>
        <v>7.75</v>
      </c>
      <c r="E33" s="42">
        <f t="shared" si="5"/>
        <v>0.41849999999999998</v>
      </c>
      <c r="F33" s="20">
        <f t="shared" si="6"/>
        <v>2672037.9821324423</v>
      </c>
      <c r="G33" s="19">
        <f t="shared" si="7"/>
        <v>8.0000000000000002E-3</v>
      </c>
      <c r="H33" s="21">
        <v>0</v>
      </c>
      <c r="I33" s="19">
        <f t="shared" si="8"/>
        <v>0</v>
      </c>
      <c r="J33" s="22">
        <f t="shared" si="9"/>
        <v>0</v>
      </c>
      <c r="K33" s="19">
        <f t="shared" si="0"/>
        <v>8.0000000000000002E-3</v>
      </c>
      <c r="L33" s="19">
        <f>SUM(G34:$G$46)+SUM(J34:$J$46)</f>
        <v>0.82848222251838988</v>
      </c>
      <c r="M33" s="39">
        <f t="shared" si="1"/>
        <v>0.82848222251838988</v>
      </c>
      <c r="N33" s="32"/>
      <c r="O33" s="23"/>
    </row>
    <row r="34" spans="1:15" x14ac:dyDescent="0.25">
      <c r="A34" s="18">
        <v>47424</v>
      </c>
      <c r="B34" s="20">
        <f t="shared" si="3"/>
        <v>3321420.8480000002</v>
      </c>
      <c r="C34" s="20">
        <v>7</v>
      </c>
      <c r="D34" s="20">
        <f t="shared" si="4"/>
        <v>8</v>
      </c>
      <c r="E34" s="42">
        <f t="shared" si="5"/>
        <v>0.44800000000000001</v>
      </c>
      <c r="F34" s="20">
        <f t="shared" si="6"/>
        <v>2650594.6712420946</v>
      </c>
      <c r="G34" s="19">
        <f t="shared" si="7"/>
        <v>8.0000000000000002E-3</v>
      </c>
      <c r="H34" s="21">
        <v>0</v>
      </c>
      <c r="I34" s="19">
        <f t="shared" si="8"/>
        <v>0</v>
      </c>
      <c r="J34" s="22">
        <f t="shared" si="9"/>
        <v>0</v>
      </c>
      <c r="K34" s="19">
        <f t="shared" si="0"/>
        <v>8.0000000000000002E-3</v>
      </c>
      <c r="L34" s="19">
        <f>SUM(G35:$G$46)+SUM(J35:$J$46)</f>
        <v>0.82048222251838987</v>
      </c>
      <c r="M34" s="39">
        <f t="shared" si="1"/>
        <v>0.82048222251838987</v>
      </c>
      <c r="N34" s="32"/>
      <c r="O34" s="24"/>
    </row>
    <row r="35" spans="1:15" x14ac:dyDescent="0.25">
      <c r="A35" s="18">
        <v>47516</v>
      </c>
      <c r="B35" s="20">
        <f t="shared" si="3"/>
        <v>3321420.8480000002</v>
      </c>
      <c r="C35" s="20">
        <v>7.25</v>
      </c>
      <c r="D35" s="20">
        <f t="shared" si="4"/>
        <v>8.25</v>
      </c>
      <c r="E35" s="42">
        <f t="shared" si="5"/>
        <v>0.47850000000000004</v>
      </c>
      <c r="F35" s="20">
        <f t="shared" si="6"/>
        <v>2629323.4445754788</v>
      </c>
      <c r="G35" s="19">
        <f t="shared" si="7"/>
        <v>8.0000000000000002E-3</v>
      </c>
      <c r="H35" s="21">
        <v>0</v>
      </c>
      <c r="I35" s="19">
        <f t="shared" si="8"/>
        <v>0</v>
      </c>
      <c r="J35" s="22">
        <f t="shared" si="9"/>
        <v>0</v>
      </c>
      <c r="K35" s="19">
        <f t="shared" si="0"/>
        <v>8.0000000000000002E-3</v>
      </c>
      <c r="L35" s="19">
        <f>SUM(G36:$G$46)+SUM(J36:$J$46)</f>
        <v>0.81248222251838986</v>
      </c>
      <c r="M35" s="39">
        <f t="shared" si="1"/>
        <v>0.81248222251838986</v>
      </c>
      <c r="N35" s="32"/>
      <c r="O35" s="23"/>
    </row>
    <row r="36" spans="1:15" x14ac:dyDescent="0.25">
      <c r="A36" s="18">
        <v>47605</v>
      </c>
      <c r="B36" s="20">
        <f t="shared" si="3"/>
        <v>3321420.8480000002</v>
      </c>
      <c r="C36" s="20">
        <v>7.5</v>
      </c>
      <c r="D36" s="20">
        <f t="shared" si="4"/>
        <v>8.5</v>
      </c>
      <c r="E36" s="42">
        <f t="shared" si="5"/>
        <v>0.51</v>
      </c>
      <c r="F36" s="20">
        <f t="shared" si="6"/>
        <v>2608222.9211434289</v>
      </c>
      <c r="G36" s="19">
        <f t="shared" si="7"/>
        <v>8.0000000000000002E-3</v>
      </c>
      <c r="H36" s="21">
        <v>0</v>
      </c>
      <c r="I36" s="19">
        <f t="shared" si="8"/>
        <v>0</v>
      </c>
      <c r="J36" s="22">
        <f t="shared" si="9"/>
        <v>0</v>
      </c>
      <c r="K36" s="19">
        <f t="shared" si="0"/>
        <v>8.0000000000000002E-3</v>
      </c>
      <c r="L36" s="19">
        <f>SUM(G37:$G$46)+SUM(J37:$J$46)</f>
        <v>0.80448222251838986</v>
      </c>
      <c r="M36" s="39">
        <f t="shared" si="1"/>
        <v>0.80448222251838986</v>
      </c>
      <c r="N36" s="32"/>
      <c r="O36" s="24"/>
    </row>
    <row r="37" spans="1:15" x14ac:dyDescent="0.25">
      <c r="A37" s="18">
        <v>47697</v>
      </c>
      <c r="B37" s="20">
        <f t="shared" si="3"/>
        <v>3321420.8480000002</v>
      </c>
      <c r="C37" s="20">
        <v>7.75</v>
      </c>
      <c r="D37" s="20">
        <f t="shared" si="4"/>
        <v>8.75</v>
      </c>
      <c r="E37" s="42">
        <f t="shared" si="5"/>
        <v>0.54249999999999998</v>
      </c>
      <c r="F37" s="20">
        <f t="shared" si="6"/>
        <v>2587291.7310393206</v>
      </c>
      <c r="G37" s="19">
        <f t="shared" si="7"/>
        <v>8.0000000000000002E-3</v>
      </c>
      <c r="H37" s="21">
        <v>0</v>
      </c>
      <c r="I37" s="19">
        <f t="shared" si="8"/>
        <v>0</v>
      </c>
      <c r="J37" s="22">
        <f t="shared" si="9"/>
        <v>0</v>
      </c>
      <c r="K37" s="19">
        <f t="shared" si="0"/>
        <v>8.0000000000000002E-3</v>
      </c>
      <c r="L37" s="19">
        <f>SUM(G38:$G$46)+SUM(J38:$J$46)</f>
        <v>0.79648222251838985</v>
      </c>
      <c r="M37" s="39">
        <f t="shared" si="1"/>
        <v>0.79648222251838985</v>
      </c>
      <c r="N37" s="32"/>
      <c r="O37" s="23"/>
    </row>
    <row r="38" spans="1:15" x14ac:dyDescent="0.25">
      <c r="A38" s="18">
        <v>47789</v>
      </c>
      <c r="B38" s="20">
        <f t="shared" si="3"/>
        <v>3321420.8480000002</v>
      </c>
      <c r="C38" s="20">
        <v>8</v>
      </c>
      <c r="D38" s="20">
        <f t="shared" si="4"/>
        <v>9</v>
      </c>
      <c r="E38" s="42">
        <f t="shared" si="5"/>
        <v>0.57600000000000007</v>
      </c>
      <c r="F38" s="20">
        <f t="shared" si="6"/>
        <v>2566528.5153501383</v>
      </c>
      <c r="G38" s="19">
        <f t="shared" si="7"/>
        <v>8.0000000000000002E-3</v>
      </c>
      <c r="H38" s="21">
        <v>0</v>
      </c>
      <c r="I38" s="19">
        <f t="shared" si="8"/>
        <v>0</v>
      </c>
      <c r="J38" s="22">
        <f t="shared" si="9"/>
        <v>0</v>
      </c>
      <c r="K38" s="19">
        <f t="shared" si="0"/>
        <v>8.0000000000000002E-3</v>
      </c>
      <c r="L38" s="19">
        <f>SUM(G39:$G$46)+SUM(J39:$J$46)</f>
        <v>0.78848222251838984</v>
      </c>
      <c r="M38" s="39">
        <f t="shared" si="1"/>
        <v>0.78848222251838984</v>
      </c>
      <c r="N38" s="32"/>
      <c r="O38" s="24"/>
    </row>
    <row r="39" spans="1:15" x14ac:dyDescent="0.25">
      <c r="A39" s="18">
        <v>47881</v>
      </c>
      <c r="B39" s="20">
        <f t="shared" si="3"/>
        <v>3321420.8480000002</v>
      </c>
      <c r="C39" s="20">
        <v>8.25</v>
      </c>
      <c r="D39" s="20">
        <f t="shared" si="4"/>
        <v>9.25</v>
      </c>
      <c r="E39" s="42">
        <f t="shared" si="5"/>
        <v>0.61050000000000004</v>
      </c>
      <c r="F39" s="20">
        <f t="shared" si="6"/>
        <v>2545931.9260682468</v>
      </c>
      <c r="G39" s="19">
        <f t="shared" si="7"/>
        <v>8.0000000000000002E-3</v>
      </c>
      <c r="H39" s="21">
        <v>0</v>
      </c>
      <c r="I39" s="19">
        <f t="shared" si="8"/>
        <v>0</v>
      </c>
      <c r="J39" s="22">
        <f t="shared" si="9"/>
        <v>0</v>
      </c>
      <c r="K39" s="19">
        <f t="shared" si="0"/>
        <v>8.0000000000000002E-3</v>
      </c>
      <c r="L39" s="19">
        <f>SUM(G40:$G$46)+SUM(J40:$J$46)</f>
        <v>0.78048222251838995</v>
      </c>
      <c r="M39" s="39">
        <f t="shared" si="1"/>
        <v>0.78048222251838995</v>
      </c>
      <c r="N39" s="32"/>
      <c r="O39" s="23"/>
    </row>
    <row r="40" spans="1:15" x14ac:dyDescent="0.25">
      <c r="A40" s="18">
        <v>47970</v>
      </c>
      <c r="B40" s="20">
        <f t="shared" si="3"/>
        <v>3321420.8480000002</v>
      </c>
      <c r="C40" s="20">
        <v>8.5</v>
      </c>
      <c r="D40" s="20">
        <f t="shared" si="4"/>
        <v>9.5</v>
      </c>
      <c r="E40" s="42">
        <f t="shared" si="5"/>
        <v>0.64600000000000002</v>
      </c>
      <c r="F40" s="20">
        <f t="shared" si="6"/>
        <v>2525500.6260038754</v>
      </c>
      <c r="G40" s="19">
        <f t="shared" si="7"/>
        <v>8.0000000000000002E-3</v>
      </c>
      <c r="H40" s="21">
        <v>0</v>
      </c>
      <c r="I40" s="19">
        <f t="shared" si="8"/>
        <v>0</v>
      </c>
      <c r="J40" s="22">
        <f t="shared" si="9"/>
        <v>0</v>
      </c>
      <c r="K40" s="19">
        <f t="shared" si="0"/>
        <v>8.0000000000000002E-3</v>
      </c>
      <c r="L40" s="19">
        <f>SUM(G41:$G$46)+SUM(J41:$J$46)</f>
        <v>0.77248222251838994</v>
      </c>
      <c r="M40" s="39">
        <f t="shared" si="1"/>
        <v>0.77248222251838994</v>
      </c>
      <c r="N40" s="32"/>
      <c r="O40" s="24"/>
    </row>
    <row r="41" spans="1:15" x14ac:dyDescent="0.25">
      <c r="A41" s="18">
        <v>48062</v>
      </c>
      <c r="B41" s="20">
        <f t="shared" si="3"/>
        <v>3321420.8480000002</v>
      </c>
      <c r="C41" s="20">
        <v>8.75</v>
      </c>
      <c r="D41" s="20">
        <f t="shared" si="4"/>
        <v>9.75</v>
      </c>
      <c r="E41" s="42">
        <f t="shared" si="5"/>
        <v>0.6825</v>
      </c>
      <c r="F41" s="20">
        <f t="shared" si="6"/>
        <v>2505233.2886983058</v>
      </c>
      <c r="G41" s="19">
        <f t="shared" si="7"/>
        <v>8.0000000000000002E-3</v>
      </c>
      <c r="H41" s="21">
        <v>0</v>
      </c>
      <c r="I41" s="19">
        <f t="shared" si="8"/>
        <v>0</v>
      </c>
      <c r="J41" s="22">
        <f t="shared" si="9"/>
        <v>0</v>
      </c>
      <c r="K41" s="19">
        <f t="shared" si="0"/>
        <v>8.0000000000000002E-3</v>
      </c>
      <c r="L41" s="19">
        <f>SUM(G42:$G$46)+SUM(J42:$J$46)</f>
        <v>0.76448222251838993</v>
      </c>
      <c r="M41" s="39">
        <f t="shared" si="1"/>
        <v>0.76448222251838993</v>
      </c>
      <c r="N41" s="32"/>
      <c r="O41" s="23"/>
    </row>
    <row r="42" spans="1:15" x14ac:dyDescent="0.25">
      <c r="A42" s="18">
        <v>48154</v>
      </c>
      <c r="B42" s="20">
        <f t="shared" si="3"/>
        <v>3321420.8480000002</v>
      </c>
      <c r="C42" s="20">
        <v>9</v>
      </c>
      <c r="D42" s="20">
        <f t="shared" si="4"/>
        <v>10</v>
      </c>
      <c r="E42" s="42">
        <f t="shared" si="5"/>
        <v>0.72</v>
      </c>
      <c r="F42" s="20">
        <f t="shared" si="6"/>
        <v>2485128.5983377537</v>
      </c>
      <c r="G42" s="19">
        <f t="shared" si="7"/>
        <v>8.0000000000000002E-3</v>
      </c>
      <c r="H42" s="21">
        <v>0</v>
      </c>
      <c r="I42" s="19">
        <f t="shared" si="8"/>
        <v>0</v>
      </c>
      <c r="J42" s="22">
        <f t="shared" si="9"/>
        <v>0</v>
      </c>
      <c r="K42" s="19">
        <f t="shared" si="0"/>
        <v>8.0000000000000002E-3</v>
      </c>
      <c r="L42" s="19">
        <f>SUM(G43:$G$46)+SUM(J43:$J$46)</f>
        <v>0.75648222251838992</v>
      </c>
      <c r="M42" s="39">
        <f t="shared" si="1"/>
        <v>0.75648222251838992</v>
      </c>
      <c r="N42" s="32"/>
      <c r="O42" s="24"/>
    </row>
    <row r="43" spans="1:15" x14ac:dyDescent="0.25">
      <c r="A43" s="18">
        <v>48246</v>
      </c>
      <c r="B43" s="20">
        <f t="shared" si="3"/>
        <v>3321420.8480000002</v>
      </c>
      <c r="C43" s="20">
        <v>9.25</v>
      </c>
      <c r="D43" s="20">
        <f t="shared" si="4"/>
        <v>10.25</v>
      </c>
      <c r="E43" s="42">
        <f t="shared" si="5"/>
        <v>0.75850000000000006</v>
      </c>
      <c r="F43" s="20">
        <f t="shared" si="6"/>
        <v>2465185.2496679407</v>
      </c>
      <c r="G43" s="19">
        <f t="shared" si="7"/>
        <v>8.0000000000000002E-3</v>
      </c>
      <c r="H43" s="21">
        <v>0</v>
      </c>
      <c r="I43" s="19">
        <f t="shared" si="8"/>
        <v>0</v>
      </c>
      <c r="J43" s="22">
        <f t="shared" si="9"/>
        <v>0</v>
      </c>
      <c r="K43" s="19">
        <f t="shared" si="0"/>
        <v>8.0000000000000002E-3</v>
      </c>
      <c r="L43" s="19">
        <f>SUM(G44:$G$46)+SUM(J44:$J$46)</f>
        <v>0.74848222251838992</v>
      </c>
      <c r="M43" s="39">
        <f t="shared" si="1"/>
        <v>0.74848222251838992</v>
      </c>
      <c r="N43" s="32"/>
      <c r="O43" s="23"/>
    </row>
    <row r="44" spans="1:15" x14ac:dyDescent="0.25">
      <c r="A44" s="18">
        <v>48336</v>
      </c>
      <c r="B44" s="20">
        <f t="shared" si="3"/>
        <v>3321420.8480000002</v>
      </c>
      <c r="C44" s="20">
        <v>9.5</v>
      </c>
      <c r="D44" s="20">
        <f t="shared" si="4"/>
        <v>10.5</v>
      </c>
      <c r="E44" s="42">
        <f t="shared" si="5"/>
        <v>0.79800000000000004</v>
      </c>
      <c r="F44" s="20">
        <f t="shared" si="6"/>
        <v>2445401.9479093538</v>
      </c>
      <c r="G44" s="19">
        <f t="shared" si="7"/>
        <v>8.0000000000000002E-3</v>
      </c>
      <c r="H44" s="21">
        <v>0</v>
      </c>
      <c r="I44" s="19">
        <f t="shared" si="8"/>
        <v>0</v>
      </c>
      <c r="J44" s="22">
        <f t="shared" si="9"/>
        <v>0</v>
      </c>
      <c r="K44" s="19">
        <f t="shared" si="0"/>
        <v>8.0000000000000002E-3</v>
      </c>
      <c r="L44" s="19">
        <f>SUM(G45:$G$46)+SUM(J45:$J$46)</f>
        <v>0.74048222251838991</v>
      </c>
      <c r="M44" s="39">
        <f t="shared" si="1"/>
        <v>0.74048222251838991</v>
      </c>
      <c r="N44" s="32"/>
      <c r="O44" s="24"/>
    </row>
    <row r="45" spans="1:15" x14ac:dyDescent="0.25">
      <c r="A45" s="18">
        <v>48428</v>
      </c>
      <c r="B45" s="20">
        <f t="shared" si="3"/>
        <v>3321420.8480000002</v>
      </c>
      <c r="C45" s="20">
        <v>9.75</v>
      </c>
      <c r="D45" s="20">
        <f t="shared" si="4"/>
        <v>10.75</v>
      </c>
      <c r="E45" s="42">
        <f t="shared" si="5"/>
        <v>0.83850000000000002</v>
      </c>
      <c r="F45" s="20">
        <f t="shared" si="6"/>
        <v>2425777.4086731877</v>
      </c>
      <c r="G45" s="19">
        <f t="shared" si="7"/>
        <v>8.0000000000000002E-3</v>
      </c>
      <c r="H45" s="21">
        <v>0</v>
      </c>
      <c r="I45" s="19">
        <f t="shared" si="8"/>
        <v>0</v>
      </c>
      <c r="J45" s="22">
        <f t="shared" si="9"/>
        <v>0</v>
      </c>
      <c r="K45" s="19">
        <f t="shared" si="0"/>
        <v>8.0000000000000002E-3</v>
      </c>
      <c r="L45" s="19">
        <f>SUM(G46:$G$46)+SUM(J46:$J$46)</f>
        <v>0.7324822225183899</v>
      </c>
      <c r="M45" s="39">
        <f t="shared" si="1"/>
        <v>0.7324822225183899</v>
      </c>
      <c r="N45" s="32"/>
      <c r="O45" s="23"/>
    </row>
    <row r="46" spans="1:15" x14ac:dyDescent="0.25">
      <c r="A46" s="25">
        <v>48520</v>
      </c>
      <c r="B46" s="27">
        <f t="shared" si="3"/>
        <v>3321420.8480000002</v>
      </c>
      <c r="C46" s="27">
        <v>10</v>
      </c>
      <c r="D46" s="27">
        <f t="shared" si="4"/>
        <v>11</v>
      </c>
      <c r="E46" s="27">
        <f t="shared" si="5"/>
        <v>80.57304447702289</v>
      </c>
      <c r="F46" s="27">
        <f t="shared" si="6"/>
        <v>2406310.3578779553</v>
      </c>
      <c r="G46" s="26">
        <f t="shared" si="7"/>
        <v>8.0000000000000002E-3</v>
      </c>
      <c r="H46" s="28">
        <f>G3</f>
        <v>415177606</v>
      </c>
      <c r="I46" s="27">
        <f>H46/(1+$G$4/4)^(C46*4)</f>
        <v>300788794.73474443</v>
      </c>
      <c r="J46" s="27">
        <f t="shared" si="9"/>
        <v>0.7244822225183899</v>
      </c>
      <c r="K46" s="26">
        <f t="shared" si="0"/>
        <v>0.7324822225183899</v>
      </c>
      <c r="L46" s="26">
        <f>0</f>
        <v>0</v>
      </c>
      <c r="M46" s="40">
        <f t="shared" si="1"/>
        <v>0</v>
      </c>
      <c r="N46" s="29"/>
      <c r="O46" s="30"/>
    </row>
    <row r="47" spans="1:15" x14ac:dyDescent="0.25">
      <c r="A47" s="1"/>
      <c r="B47" s="10"/>
      <c r="C47" s="10"/>
      <c r="D47" s="10"/>
      <c r="E47" s="10"/>
      <c r="F47" s="10"/>
      <c r="G47" s="10"/>
      <c r="H47" s="11"/>
      <c r="I47" s="11"/>
      <c r="J47" s="11"/>
      <c r="K47" s="10"/>
      <c r="L47" s="10"/>
      <c r="M47" s="5"/>
    </row>
    <row r="48" spans="1:15" x14ac:dyDescent="0.25">
      <c r="A48" s="35" t="s">
        <v>10</v>
      </c>
      <c r="B48" s="36">
        <f>SUM(B7:B46)</f>
        <v>132856833.92000008</v>
      </c>
      <c r="C48" s="36"/>
      <c r="D48" s="36"/>
      <c r="E48" s="36">
        <f t="shared" ref="E48:J48" si="10">SUM(E7:E46)</f>
        <v>92.403044477022888</v>
      </c>
      <c r="F48" s="36">
        <f t="shared" si="10"/>
        <v>113116253.41434519</v>
      </c>
      <c r="G48" s="36">
        <f t="shared" si="10"/>
        <v>0.32000000000000023</v>
      </c>
      <c r="H48" s="37">
        <f t="shared" si="10"/>
        <v>415177606</v>
      </c>
      <c r="I48" s="37">
        <f t="shared" si="10"/>
        <v>300788794.73474443</v>
      </c>
      <c r="J48" s="38">
        <f t="shared" si="10"/>
        <v>0.7244822225183899</v>
      </c>
      <c r="K48" s="36">
        <f>G48+J48</f>
        <v>1.0444822225183901</v>
      </c>
      <c r="L48" s="35"/>
      <c r="M48" s="35"/>
      <c r="N48" s="35"/>
      <c r="O48" s="35"/>
    </row>
    <row r="51" spans="1:3" x14ac:dyDescent="0.25">
      <c r="A51" s="45" t="s">
        <v>29</v>
      </c>
      <c r="B51" s="44">
        <f>SUMPRODUCT($C$7:C46,K7:$K$46)</f>
        <v>8.8848222251838997</v>
      </c>
      <c r="C51" s="48"/>
    </row>
    <row r="52" spans="1:3" x14ac:dyDescent="0.25">
      <c r="A52" s="45" t="s">
        <v>34</v>
      </c>
      <c r="B52" s="44">
        <f>DURATION(B2,B3,G2,G4,4)</f>
        <v>8.5944814174762172</v>
      </c>
      <c r="C52" s="48"/>
    </row>
    <row r="53" spans="1:3" x14ac:dyDescent="0.25">
      <c r="A53" s="45" t="s">
        <v>45</v>
      </c>
      <c r="B53" s="44">
        <f>B51/(1+G4)</f>
        <v>8.6063216563833347</v>
      </c>
      <c r="C53" t="s">
        <v>33</v>
      </c>
    </row>
    <row r="54" spans="1:3" x14ac:dyDescent="0.25">
      <c r="A54" s="46" t="s">
        <v>19</v>
      </c>
      <c r="B54" s="43">
        <f>E48/K48</f>
        <v>88.46780010695295</v>
      </c>
    </row>
  </sheetData>
  <hyperlinks>
    <hyperlink ref="N1" r:id="rId1" display="https://www.credit-agricole.com/pdfPreview/195049" xr:uid="{08A57DBD-DD92-4E18-BEBD-DADF40093647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1B9E8-04CC-4C7F-AD21-B2216482626D}">
  <sheetPr codeName="Sheet2"/>
  <dimension ref="A1:X53"/>
  <sheetViews>
    <sheetView zoomScale="80" zoomScaleNormal="80" workbookViewId="0">
      <selection activeCell="G21" sqref="G21"/>
    </sheetView>
  </sheetViews>
  <sheetFormatPr defaultRowHeight="15" x14ac:dyDescent="0.25"/>
  <cols>
    <col min="1" max="1" width="17.85546875" bestFit="1" customWidth="1"/>
    <col min="2" max="3" width="15.42578125" bestFit="1" customWidth="1"/>
    <col min="4" max="4" width="7.42578125" bestFit="1" customWidth="1"/>
    <col min="5" max="5" width="18.42578125" bestFit="1" customWidth="1"/>
    <col min="6" max="6" width="15.85546875" bestFit="1" customWidth="1"/>
    <col min="7" max="7" width="23.5703125" bestFit="1" customWidth="1"/>
    <col min="8" max="8" width="17.7109375" bestFit="1" customWidth="1"/>
    <col min="9" max="9" width="18.5703125" bestFit="1" customWidth="1"/>
    <col min="10" max="10" width="27.85546875" bestFit="1" customWidth="1"/>
    <col min="11" max="11" width="18.5703125" bestFit="1" customWidth="1"/>
    <col min="12" max="12" width="12" bestFit="1" customWidth="1"/>
    <col min="13" max="13" width="9.5703125" bestFit="1" customWidth="1"/>
    <col min="14" max="14" width="28.28515625" bestFit="1" customWidth="1"/>
    <col min="15" max="15" width="21" bestFit="1" customWidth="1"/>
    <col min="16" max="16" width="18" bestFit="1" customWidth="1"/>
    <col min="17" max="17" width="23.5703125" bestFit="1" customWidth="1"/>
    <col min="18" max="18" width="16.7109375" bestFit="1" customWidth="1"/>
    <col min="19" max="19" width="18.5703125" bestFit="1" customWidth="1"/>
    <col min="20" max="20" width="11.140625" bestFit="1" customWidth="1"/>
    <col min="21" max="21" width="27" bestFit="1" customWidth="1"/>
    <col min="22" max="22" width="14.42578125" bestFit="1" customWidth="1"/>
    <col min="23" max="23" width="35.28515625" bestFit="1" customWidth="1"/>
  </cols>
  <sheetData>
    <row r="1" spans="1:24" x14ac:dyDescent="0.25">
      <c r="A1" t="s">
        <v>13</v>
      </c>
      <c r="B1" t="s">
        <v>11</v>
      </c>
      <c r="C1" t="s">
        <v>21</v>
      </c>
      <c r="D1" t="s">
        <v>36</v>
      </c>
      <c r="E1" t="s">
        <v>32</v>
      </c>
      <c r="F1" t="s">
        <v>22</v>
      </c>
      <c r="G1" t="s">
        <v>26</v>
      </c>
      <c r="H1" t="s">
        <v>23</v>
      </c>
      <c r="I1" t="s">
        <v>27</v>
      </c>
      <c r="J1" t="s">
        <v>28</v>
      </c>
      <c r="K1" t="s">
        <v>30</v>
      </c>
      <c r="L1" t="s">
        <v>17</v>
      </c>
      <c r="M1" t="s">
        <v>35</v>
      </c>
      <c r="N1" t="s">
        <v>39</v>
      </c>
      <c r="O1" t="s">
        <v>37</v>
      </c>
      <c r="Q1" t="s">
        <v>5</v>
      </c>
      <c r="R1" s="50">
        <v>415177606</v>
      </c>
      <c r="S1" s="14"/>
      <c r="T1" s="1"/>
    </row>
    <row r="2" spans="1:24" x14ac:dyDescent="0.25">
      <c r="A2" s="1">
        <v>44959</v>
      </c>
      <c r="B2" s="50">
        <v>3321420.8000000003</v>
      </c>
      <c r="C2">
        <v>0.25</v>
      </c>
      <c r="D2">
        <v>1.25</v>
      </c>
      <c r="E2" s="51">
        <v>2.4999999638708839E-3</v>
      </c>
      <c r="F2" s="52">
        <v>3295049.1881940868</v>
      </c>
      <c r="G2">
        <v>7.9999998843868284E-3</v>
      </c>
      <c r="H2">
        <v>0</v>
      </c>
      <c r="I2">
        <v>0</v>
      </c>
      <c r="J2">
        <v>0</v>
      </c>
      <c r="K2">
        <v>7.9999998843868284E-3</v>
      </c>
      <c r="L2" s="50">
        <v>1.0361947987146944</v>
      </c>
      <c r="M2" s="5">
        <v>1.0361948136894157</v>
      </c>
      <c r="N2" s="6">
        <v>0.98970000000000002</v>
      </c>
      <c r="O2" t="s">
        <v>40</v>
      </c>
      <c r="Q2" t="s">
        <v>0</v>
      </c>
      <c r="R2" s="1">
        <v>44867</v>
      </c>
    </row>
    <row r="3" spans="1:24" x14ac:dyDescent="0.25">
      <c r="A3" s="1">
        <v>45048</v>
      </c>
      <c r="B3" s="50">
        <v>3321420.8000000003</v>
      </c>
      <c r="C3">
        <v>0.5</v>
      </c>
      <c r="D3">
        <v>1.5</v>
      </c>
      <c r="E3" s="51">
        <v>5.9999999132901213E-3</v>
      </c>
      <c r="F3" s="52">
        <v>3268886.9632593705</v>
      </c>
      <c r="G3">
        <v>7.9999998843868284E-3</v>
      </c>
      <c r="H3">
        <v>0</v>
      </c>
      <c r="I3">
        <v>0</v>
      </c>
      <c r="J3">
        <v>0</v>
      </c>
      <c r="K3">
        <v>7.9999998843868284E-3</v>
      </c>
      <c r="L3" s="50">
        <v>1.0281947988303077</v>
      </c>
      <c r="M3" s="5">
        <v>1.0281948136894157</v>
      </c>
      <c r="N3" s="6">
        <v>0.90500000000000003</v>
      </c>
      <c r="O3" t="s">
        <v>40</v>
      </c>
      <c r="Q3" t="s">
        <v>43</v>
      </c>
      <c r="R3" s="53">
        <v>10</v>
      </c>
    </row>
    <row r="4" spans="1:24" x14ac:dyDescent="0.25">
      <c r="A4" s="1">
        <v>45140</v>
      </c>
      <c r="B4" s="50">
        <v>3321420.8000000003</v>
      </c>
      <c r="C4">
        <v>0.75</v>
      </c>
      <c r="D4">
        <v>1.75</v>
      </c>
      <c r="E4" s="51">
        <v>1.0499999848257712E-2</v>
      </c>
      <c r="F4" s="52">
        <v>3242932.4626936829</v>
      </c>
      <c r="G4">
        <v>7.9999998843868284E-3</v>
      </c>
      <c r="H4">
        <v>0</v>
      </c>
      <c r="I4">
        <v>0</v>
      </c>
      <c r="J4">
        <v>0</v>
      </c>
      <c r="K4">
        <v>7.9999998843868284E-3</v>
      </c>
      <c r="L4" s="50">
        <v>1.0201947989459208</v>
      </c>
      <c r="M4" s="5">
        <v>1.0201948136894157</v>
      </c>
      <c r="N4" s="6">
        <v>0.89510000000000001</v>
      </c>
      <c r="O4" t="s">
        <v>40</v>
      </c>
      <c r="Q4" t="s">
        <v>42</v>
      </c>
      <c r="R4" s="54">
        <v>3.2000000000000001E-2</v>
      </c>
      <c r="S4" s="15"/>
      <c r="U4" s="14"/>
      <c r="V4" s="3"/>
      <c r="W4" s="14"/>
      <c r="X4" s="4"/>
    </row>
    <row r="5" spans="1:24" x14ac:dyDescent="0.25">
      <c r="A5" s="1">
        <v>45232</v>
      </c>
      <c r="B5" s="50">
        <v>3321420.8000000003</v>
      </c>
      <c r="C5">
        <v>1</v>
      </c>
      <c r="D5">
        <v>2</v>
      </c>
      <c r="E5" s="51">
        <v>1.5999999768773657E-2</v>
      </c>
      <c r="F5" s="52">
        <v>3217184.0371948862</v>
      </c>
      <c r="G5">
        <v>7.9999998843868284E-3</v>
      </c>
      <c r="H5">
        <v>0</v>
      </c>
      <c r="I5">
        <v>0</v>
      </c>
      <c r="J5">
        <v>0</v>
      </c>
      <c r="K5">
        <v>7.9999998843868284E-3</v>
      </c>
      <c r="L5" s="50">
        <v>1.0121947990615341</v>
      </c>
      <c r="M5" s="5">
        <v>1.0121948136894157</v>
      </c>
      <c r="N5" s="6">
        <v>0.90900000000000003</v>
      </c>
      <c r="O5" t="s">
        <v>40</v>
      </c>
      <c r="Q5" t="s">
        <v>15</v>
      </c>
      <c r="R5" s="6">
        <v>3.2399999999999998E-2</v>
      </c>
      <c r="S5" s="1"/>
      <c r="U5" s="14"/>
      <c r="V5" s="2"/>
      <c r="W5" s="14"/>
      <c r="X5" s="6"/>
    </row>
    <row r="6" spans="1:24" x14ac:dyDescent="0.25">
      <c r="A6" s="1">
        <v>45324</v>
      </c>
      <c r="B6" s="50">
        <v>3321420.8000000003</v>
      </c>
      <c r="C6">
        <v>1.25</v>
      </c>
      <c r="D6">
        <v>2.25</v>
      </c>
      <c r="E6" s="51">
        <v>2.2499999674837956E-2</v>
      </c>
      <c r="F6" s="52">
        <v>3191640.0505560702</v>
      </c>
      <c r="G6">
        <v>7.9999998843868284E-3</v>
      </c>
      <c r="H6">
        <v>0</v>
      </c>
      <c r="I6">
        <v>0</v>
      </c>
      <c r="J6">
        <v>0</v>
      </c>
      <c r="K6">
        <v>7.9999998843868284E-3</v>
      </c>
      <c r="L6" s="50">
        <v>1.0041947991771472</v>
      </c>
      <c r="M6" s="5">
        <v>1.0041948136894157</v>
      </c>
      <c r="N6" s="6">
        <v>0.94750000000000001</v>
      </c>
      <c r="O6" t="s">
        <v>40</v>
      </c>
      <c r="Q6" t="s">
        <v>38</v>
      </c>
      <c r="R6" s="57">
        <v>415177606</v>
      </c>
      <c r="S6" s="1"/>
      <c r="T6" s="1"/>
      <c r="U6" s="14"/>
      <c r="V6" s="4"/>
      <c r="W6" s="14"/>
      <c r="X6" s="7"/>
    </row>
    <row r="7" spans="1:24" x14ac:dyDescent="0.25">
      <c r="A7" s="1">
        <v>45414</v>
      </c>
      <c r="B7" s="50">
        <v>3321420.8000000003</v>
      </c>
      <c r="C7">
        <v>1.5</v>
      </c>
      <c r="D7">
        <v>2.5</v>
      </c>
      <c r="E7" s="51">
        <v>2.9999999566450608E-2</v>
      </c>
      <c r="F7" s="52">
        <v>3166298.8795615751</v>
      </c>
      <c r="G7">
        <v>7.9999998843868284E-3</v>
      </c>
      <c r="H7">
        <v>0</v>
      </c>
      <c r="I7">
        <v>0</v>
      </c>
      <c r="J7">
        <v>0</v>
      </c>
      <c r="K7">
        <v>7.9999998843868284E-3</v>
      </c>
      <c r="L7" s="50">
        <v>0.99619479929276045</v>
      </c>
      <c r="M7" s="5">
        <v>0.99619481368941576</v>
      </c>
      <c r="N7" s="6">
        <v>0.94199999999999995</v>
      </c>
      <c r="O7" t="s">
        <v>40</v>
      </c>
      <c r="Q7" s="1"/>
      <c r="S7" s="12"/>
      <c r="U7" s="14"/>
      <c r="V7" s="49"/>
    </row>
    <row r="8" spans="1:24" x14ac:dyDescent="0.25">
      <c r="A8" s="1">
        <v>45506</v>
      </c>
      <c r="B8" s="50">
        <v>3321420.8000000003</v>
      </c>
      <c r="C8">
        <v>1.75</v>
      </c>
      <c r="D8">
        <v>2.75</v>
      </c>
      <c r="E8" s="51">
        <v>3.8499999443611613E-2</v>
      </c>
      <c r="F8" s="52">
        <v>3141158.9138838458</v>
      </c>
      <c r="G8">
        <v>7.9999998843868284E-3</v>
      </c>
      <c r="H8">
        <v>0</v>
      </c>
      <c r="I8">
        <v>0</v>
      </c>
      <c r="J8">
        <v>0</v>
      </c>
      <c r="K8">
        <v>7.9999998843868284E-3</v>
      </c>
      <c r="L8" s="50">
        <v>0.98819479940837351</v>
      </c>
      <c r="M8" s="5">
        <v>0.98819481368941564</v>
      </c>
      <c r="N8" s="6">
        <v>0.96460000000000001</v>
      </c>
      <c r="O8" t="s">
        <v>40</v>
      </c>
      <c r="Q8" s="1"/>
    </row>
    <row r="9" spans="1:24" x14ac:dyDescent="0.25">
      <c r="A9" s="1">
        <v>45598</v>
      </c>
      <c r="B9" s="50">
        <v>3321420.8000000003</v>
      </c>
      <c r="C9">
        <v>2</v>
      </c>
      <c r="D9">
        <v>3</v>
      </c>
      <c r="E9" s="51">
        <v>4.799999930632097E-2</v>
      </c>
      <c r="F9" s="52">
        <v>3116218.5559810987</v>
      </c>
      <c r="G9">
        <v>7.9999998843868284E-3</v>
      </c>
      <c r="H9">
        <v>0</v>
      </c>
      <c r="I9">
        <v>0</v>
      </c>
      <c r="J9">
        <v>0</v>
      </c>
      <c r="K9">
        <v>7.9999998843868284E-3</v>
      </c>
      <c r="L9" s="50">
        <v>0.9801947995239868</v>
      </c>
      <c r="M9" s="5">
        <v>0.98019481368941574</v>
      </c>
      <c r="N9" s="6">
        <v>0.97499999999999998</v>
      </c>
      <c r="O9" t="s">
        <v>40</v>
      </c>
      <c r="Q9" s="1"/>
    </row>
    <row r="10" spans="1:24" x14ac:dyDescent="0.25">
      <c r="A10" s="1">
        <v>45690</v>
      </c>
      <c r="B10" s="50">
        <v>3321420.8000000003</v>
      </c>
      <c r="C10">
        <v>2.25</v>
      </c>
      <c r="D10">
        <v>3.25</v>
      </c>
      <c r="E10" s="51">
        <v>5.849999915457868E-2</v>
      </c>
      <c r="F10" s="52">
        <v>3091476.2209958062</v>
      </c>
      <c r="G10">
        <v>7.9999998843868284E-3</v>
      </c>
      <c r="H10">
        <v>0</v>
      </c>
      <c r="I10">
        <v>0</v>
      </c>
      <c r="J10">
        <v>0</v>
      </c>
      <c r="K10">
        <v>7.9999998843868284E-3</v>
      </c>
      <c r="L10" s="50">
        <v>0.97219479963959987</v>
      </c>
      <c r="M10" s="5">
        <v>0.97219481368941574</v>
      </c>
      <c r="N10" s="6">
        <v>0.97</v>
      </c>
      <c r="O10" t="s">
        <v>40</v>
      </c>
      <c r="Q10" s="1"/>
    </row>
    <row r="11" spans="1:24" x14ac:dyDescent="0.25">
      <c r="A11" s="1">
        <v>45779</v>
      </c>
      <c r="B11" s="50">
        <v>3321420.8000000003</v>
      </c>
      <c r="C11">
        <v>2.5</v>
      </c>
      <c r="D11">
        <v>3.5</v>
      </c>
      <c r="E11" s="51">
        <v>6.9999998988384743E-2</v>
      </c>
      <c r="F11" s="52">
        <v>3066930.336653986</v>
      </c>
      <c r="G11">
        <v>7.9999998843868284E-3</v>
      </c>
      <c r="H11" s="55">
        <v>0</v>
      </c>
      <c r="I11" s="55">
        <v>0</v>
      </c>
      <c r="J11" s="56">
        <v>0</v>
      </c>
      <c r="K11">
        <v>7.9999998843868284E-3</v>
      </c>
      <c r="L11" s="50">
        <v>0.96419479975521316</v>
      </c>
      <c r="M11" s="5">
        <v>0.96419481368941584</v>
      </c>
      <c r="N11" s="6">
        <v>0.98099999999999998</v>
      </c>
      <c r="O11" t="s">
        <v>41</v>
      </c>
      <c r="Q11" s="1"/>
    </row>
    <row r="12" spans="1:24" x14ac:dyDescent="0.25">
      <c r="A12" s="1">
        <v>45871</v>
      </c>
      <c r="B12" s="50">
        <v>3321420.8000000003</v>
      </c>
      <c r="C12">
        <v>2.75</v>
      </c>
      <c r="D12">
        <v>3.75</v>
      </c>
      <c r="E12" s="51">
        <v>8.2499998807739172E-2</v>
      </c>
      <c r="F12" s="52">
        <v>3042579.343165291</v>
      </c>
      <c r="G12">
        <v>7.9999998843868284E-3</v>
      </c>
      <c r="H12">
        <v>0</v>
      </c>
      <c r="I12">
        <v>0</v>
      </c>
      <c r="J12">
        <v>0</v>
      </c>
      <c r="K12">
        <v>7.9999998843868284E-3</v>
      </c>
      <c r="L12" s="50">
        <v>0.95619479987082623</v>
      </c>
      <c r="M12" s="5">
        <v>0.95619481368941572</v>
      </c>
      <c r="N12" s="6">
        <v>0.98609999999999998</v>
      </c>
      <c r="O12" t="s">
        <v>41</v>
      </c>
      <c r="Q12" s="1"/>
    </row>
    <row r="13" spans="1:24" x14ac:dyDescent="0.25">
      <c r="A13" s="1">
        <v>45963</v>
      </c>
      <c r="B13" s="50">
        <v>3321420.8000000003</v>
      </c>
      <c r="C13">
        <v>3</v>
      </c>
      <c r="D13">
        <v>4</v>
      </c>
      <c r="E13" s="51">
        <v>9.599999861264194E-2</v>
      </c>
      <c r="F13" s="52">
        <v>3018421.6931238845</v>
      </c>
      <c r="G13">
        <v>7.9999998843868284E-3</v>
      </c>
      <c r="H13">
        <v>0</v>
      </c>
      <c r="I13" s="55">
        <v>0</v>
      </c>
      <c r="J13" s="56">
        <v>0</v>
      </c>
      <c r="K13">
        <v>7.9999998843868284E-3</v>
      </c>
      <c r="L13" s="50">
        <v>0.94819479998643952</v>
      </c>
      <c r="M13" s="5">
        <v>0.94819481368941583</v>
      </c>
      <c r="N13" s="6">
        <v>0.99809999999999999</v>
      </c>
      <c r="O13" t="s">
        <v>41</v>
      </c>
      <c r="Q13" s="1"/>
    </row>
    <row r="14" spans="1:24" x14ac:dyDescent="0.25">
      <c r="A14" s="1">
        <v>46055</v>
      </c>
      <c r="B14" s="50">
        <v>3321420.8000000003</v>
      </c>
      <c r="C14">
        <v>3.25</v>
      </c>
      <c r="D14">
        <v>4.25</v>
      </c>
      <c r="E14" s="51">
        <v>0.11049999840309306</v>
      </c>
      <c r="F14" s="52">
        <v>2994455.8514101179</v>
      </c>
      <c r="G14">
        <v>7.9999998843868284E-3</v>
      </c>
      <c r="H14">
        <v>0</v>
      </c>
      <c r="I14">
        <v>0</v>
      </c>
      <c r="J14">
        <v>0</v>
      </c>
      <c r="K14">
        <v>7.9999998843868284E-3</v>
      </c>
      <c r="L14" s="50">
        <v>0.94019480010205259</v>
      </c>
      <c r="M14" s="5">
        <v>0.94019481368941571</v>
      </c>
      <c r="N14" s="6">
        <v>0.9889</v>
      </c>
      <c r="O14" t="s">
        <v>41</v>
      </c>
      <c r="Q14" s="1"/>
      <c r="S14" s="14"/>
      <c r="T14" s="4"/>
      <c r="U14" s="14"/>
      <c r="V14" s="4"/>
    </row>
    <row r="15" spans="1:24" x14ac:dyDescent="0.25">
      <c r="A15" s="1">
        <v>46144</v>
      </c>
      <c r="B15" s="50">
        <v>3321420.8000000003</v>
      </c>
      <c r="C15">
        <v>3.5</v>
      </c>
      <c r="D15">
        <v>4.5</v>
      </c>
      <c r="E15" s="51">
        <v>0.12599999817909255</v>
      </c>
      <c r="F15" s="52">
        <v>2970680.2950929743</v>
      </c>
      <c r="G15">
        <v>7.9999998843868284E-3</v>
      </c>
      <c r="H15">
        <v>0</v>
      </c>
      <c r="I15">
        <v>0</v>
      </c>
      <c r="J15">
        <v>0</v>
      </c>
      <c r="K15">
        <v>7.9999998843868284E-3</v>
      </c>
      <c r="L15" s="50">
        <v>0.93219480021766588</v>
      </c>
      <c r="M15" s="5">
        <v>0.93219481368941581</v>
      </c>
      <c r="N15" s="6">
        <v>0.98499999999999999</v>
      </c>
      <c r="O15" t="s">
        <v>41</v>
      </c>
      <c r="Q15" s="1"/>
      <c r="S15" s="14"/>
      <c r="T15" s="6"/>
      <c r="U15" s="14"/>
      <c r="V15" s="6"/>
    </row>
    <row r="16" spans="1:24" x14ac:dyDescent="0.25">
      <c r="A16" s="1">
        <v>46236</v>
      </c>
      <c r="B16" s="50">
        <v>3321420.8000000003</v>
      </c>
      <c r="C16">
        <v>3.75</v>
      </c>
      <c r="D16">
        <v>4.75</v>
      </c>
      <c r="E16" s="51">
        <v>0.14249999794064039</v>
      </c>
      <c r="F16" s="52">
        <v>2947093.5133332917</v>
      </c>
      <c r="G16">
        <v>7.9999998843868284E-3</v>
      </c>
      <c r="H16">
        <v>0</v>
      </c>
      <c r="I16">
        <v>0</v>
      </c>
      <c r="J16">
        <v>0</v>
      </c>
      <c r="K16">
        <v>7.9999998843868284E-3</v>
      </c>
      <c r="L16" s="50">
        <v>0.92419480033327894</v>
      </c>
      <c r="M16" s="5">
        <v>0.9241948136894157</v>
      </c>
      <c r="N16" s="6"/>
      <c r="Q16" s="1"/>
      <c r="S16" s="14"/>
      <c r="T16" s="7"/>
      <c r="U16" s="14"/>
      <c r="V16" s="7"/>
    </row>
    <row r="17" spans="1:22" x14ac:dyDescent="0.25">
      <c r="A17" s="1">
        <v>46328</v>
      </c>
      <c r="B17" s="50">
        <v>3321420.8000000003</v>
      </c>
      <c r="C17">
        <v>4</v>
      </c>
      <c r="D17">
        <v>5</v>
      </c>
      <c r="E17" s="51">
        <v>0.15999999768773657</v>
      </c>
      <c r="F17" s="52">
        <v>2923694.0072877612</v>
      </c>
      <c r="G17">
        <v>7.9999998843868284E-3</v>
      </c>
      <c r="H17">
        <v>0</v>
      </c>
      <c r="I17">
        <v>0</v>
      </c>
      <c r="J17">
        <v>0</v>
      </c>
      <c r="K17">
        <v>7.9999998843868284E-3</v>
      </c>
      <c r="L17" s="50">
        <v>0.91619480044889223</v>
      </c>
      <c r="M17" s="5">
        <v>0.9161948136894158</v>
      </c>
      <c r="N17" s="6"/>
      <c r="Q17" s="1"/>
      <c r="S17" s="14"/>
      <c r="T17" s="41"/>
      <c r="U17" s="14"/>
      <c r="V17" s="41"/>
    </row>
    <row r="18" spans="1:22" x14ac:dyDescent="0.25">
      <c r="A18" s="1">
        <v>46420</v>
      </c>
      <c r="B18" s="50">
        <v>3321420.8000000003</v>
      </c>
      <c r="C18">
        <v>4.25</v>
      </c>
      <c r="D18">
        <v>5.25</v>
      </c>
      <c r="E18" s="51">
        <v>0.17849999742038111</v>
      </c>
      <c r="F18" s="52">
        <v>2900480.2900136756</v>
      </c>
      <c r="G18">
        <v>7.9999998843868284E-3</v>
      </c>
      <c r="H18">
        <v>0</v>
      </c>
      <c r="I18">
        <v>0</v>
      </c>
      <c r="J18">
        <v>0</v>
      </c>
      <c r="K18">
        <v>7.9999998843868284E-3</v>
      </c>
      <c r="L18" s="50">
        <v>0.9081948005645053</v>
      </c>
      <c r="M18" s="5">
        <v>0.90819481368941579</v>
      </c>
      <c r="N18" s="6"/>
      <c r="Q18" s="1"/>
    </row>
    <row r="19" spans="1:22" x14ac:dyDescent="0.25">
      <c r="A19" s="1">
        <v>46509</v>
      </c>
      <c r="B19" s="50">
        <v>3321420.8000000003</v>
      </c>
      <c r="C19">
        <v>4.5</v>
      </c>
      <c r="D19">
        <v>5.5</v>
      </c>
      <c r="E19" s="51">
        <v>0.197999997138574</v>
      </c>
      <c r="F19" s="52">
        <v>2877450.8863744424</v>
      </c>
      <c r="G19">
        <v>7.9999998843868284E-3</v>
      </c>
      <c r="H19">
        <v>0</v>
      </c>
      <c r="I19">
        <v>0</v>
      </c>
      <c r="J19">
        <v>0</v>
      </c>
      <c r="K19">
        <v>7.9999998843868284E-3</v>
      </c>
      <c r="L19" s="50">
        <v>0.90019480068011859</v>
      </c>
      <c r="M19" s="5">
        <v>0.9001948136894159</v>
      </c>
      <c r="N19" s="6"/>
      <c r="Q19" s="1"/>
    </row>
    <row r="20" spans="1:22" x14ac:dyDescent="0.25">
      <c r="A20" s="1">
        <v>46601</v>
      </c>
      <c r="B20" s="50">
        <v>3321420.8000000003</v>
      </c>
      <c r="C20">
        <v>4.75</v>
      </c>
      <c r="D20">
        <v>5.75</v>
      </c>
      <c r="E20" s="51">
        <v>0.21849999684231525</v>
      </c>
      <c r="F20" s="52">
        <v>2854604.332945847</v>
      </c>
      <c r="G20">
        <v>7.9999998843868284E-3</v>
      </c>
      <c r="H20">
        <v>0</v>
      </c>
      <c r="I20">
        <v>0</v>
      </c>
      <c r="J20">
        <v>0</v>
      </c>
      <c r="K20">
        <v>7.9999998843868284E-3</v>
      </c>
      <c r="L20" s="50">
        <v>0.89219480079573166</v>
      </c>
      <c r="M20" s="5">
        <v>0.89219481368941578</v>
      </c>
      <c r="N20" s="6"/>
      <c r="Q20" s="1"/>
    </row>
    <row r="21" spans="1:22" x14ac:dyDescent="0.25">
      <c r="A21" s="1">
        <v>46693</v>
      </c>
      <c r="B21" s="50">
        <v>3321420.8000000003</v>
      </c>
      <c r="C21">
        <v>5</v>
      </c>
      <c r="D21">
        <v>6</v>
      </c>
      <c r="E21" s="51">
        <v>0.23999999653160486</v>
      </c>
      <c r="F21" s="52">
        <v>2831939.1779230544</v>
      </c>
      <c r="G21">
        <v>7.9999998843868284E-3</v>
      </c>
      <c r="H21" s="55">
        <v>0</v>
      </c>
      <c r="I21" s="55">
        <v>0</v>
      </c>
      <c r="J21">
        <v>0</v>
      </c>
      <c r="K21">
        <v>7.9999998843868284E-3</v>
      </c>
      <c r="L21" s="50">
        <v>0.88419480091134495</v>
      </c>
      <c r="M21" s="5">
        <v>0.88419481368941588</v>
      </c>
      <c r="N21" s="6"/>
      <c r="R21" s="1"/>
    </row>
    <row r="22" spans="1:22" x14ac:dyDescent="0.25">
      <c r="A22" s="1">
        <v>46785</v>
      </c>
      <c r="B22" s="50">
        <v>3321420.8000000003</v>
      </c>
      <c r="C22">
        <v>5.25</v>
      </c>
      <c r="D22">
        <v>6.25</v>
      </c>
      <c r="E22" s="51">
        <v>0.26249999620644282</v>
      </c>
      <c r="F22" s="52">
        <v>2809453.9810283566</v>
      </c>
      <c r="G22">
        <v>7.9999998843868284E-3</v>
      </c>
      <c r="H22">
        <v>0</v>
      </c>
      <c r="I22">
        <v>0</v>
      </c>
      <c r="J22">
        <v>0</v>
      </c>
      <c r="K22">
        <v>7.9999998843868284E-3</v>
      </c>
      <c r="L22" s="50">
        <v>0.87619480102695801</v>
      </c>
      <c r="M22" s="5">
        <v>0.87619481368941576</v>
      </c>
      <c r="N22" s="6"/>
      <c r="P22" s="14"/>
      <c r="Q22" s="1"/>
      <c r="R22" s="14"/>
      <c r="S22" s="1"/>
    </row>
    <row r="23" spans="1:22" x14ac:dyDescent="0.25">
      <c r="A23" s="1">
        <v>46875</v>
      </c>
      <c r="B23" s="50">
        <v>3321420.8000000003</v>
      </c>
      <c r="C23">
        <v>5.5</v>
      </c>
      <c r="D23">
        <v>6.5</v>
      </c>
      <c r="E23" s="51">
        <v>0.28599999586682912</v>
      </c>
      <c r="F23" s="52">
        <v>2787147.3134196457</v>
      </c>
      <c r="G23">
        <v>7.9999998843868284E-3</v>
      </c>
      <c r="H23" s="55">
        <v>0</v>
      </c>
      <c r="I23">
        <v>0</v>
      </c>
      <c r="J23">
        <v>0</v>
      </c>
      <c r="K23">
        <v>7.9999998843868284E-3</v>
      </c>
      <c r="L23" s="50">
        <v>0.8681948011425713</v>
      </c>
      <c r="M23" s="5">
        <v>0.86819481368941587</v>
      </c>
      <c r="N23" s="6"/>
      <c r="P23" s="14"/>
      <c r="Q23" s="2"/>
    </row>
    <row r="24" spans="1:22" x14ac:dyDescent="0.25">
      <c r="A24" s="1">
        <v>46967</v>
      </c>
      <c r="B24" s="50">
        <v>3321420.8000000003</v>
      </c>
      <c r="C24">
        <v>5.75</v>
      </c>
      <c r="D24">
        <v>6.75</v>
      </c>
      <c r="E24" s="51">
        <v>0.31049999551276375</v>
      </c>
      <c r="F24" s="52">
        <v>2765017.7575996192</v>
      </c>
      <c r="G24">
        <v>7.9999998843868284E-3</v>
      </c>
      <c r="H24">
        <v>0</v>
      </c>
      <c r="I24">
        <v>0</v>
      </c>
      <c r="J24">
        <v>0</v>
      </c>
      <c r="K24">
        <v>7.9999998843868284E-3</v>
      </c>
      <c r="L24" s="50">
        <v>0.86019480125818437</v>
      </c>
      <c r="M24" s="5">
        <v>0.86019481368941575</v>
      </c>
      <c r="N24" s="6"/>
      <c r="P24" s="14"/>
      <c r="Q24" s="4"/>
    </row>
    <row r="25" spans="1:22" x14ac:dyDescent="0.25">
      <c r="A25" s="1">
        <v>47059</v>
      </c>
      <c r="B25" s="50">
        <v>3321420.8000000003</v>
      </c>
      <c r="C25">
        <v>6</v>
      </c>
      <c r="D25">
        <v>7</v>
      </c>
      <c r="E25" s="51">
        <v>0.33599999514424678</v>
      </c>
      <c r="F25" s="52">
        <v>2743063.9073257013</v>
      </c>
      <c r="G25">
        <v>7.9999998843868284E-3</v>
      </c>
      <c r="H25">
        <v>0</v>
      </c>
      <c r="I25">
        <v>0</v>
      </c>
      <c r="J25">
        <v>0</v>
      </c>
      <c r="K25">
        <v>7.9999998843868284E-3</v>
      </c>
      <c r="L25" s="50">
        <v>0.85219480137379766</v>
      </c>
      <c r="M25" s="5">
        <v>0.85219481368941585</v>
      </c>
      <c r="N25" s="6"/>
      <c r="P25" s="14"/>
      <c r="Q25" s="49"/>
      <c r="R25" s="15"/>
    </row>
    <row r="26" spans="1:22" x14ac:dyDescent="0.25">
      <c r="A26" s="1">
        <v>47151</v>
      </c>
      <c r="B26" s="50">
        <v>3321420.8000000003</v>
      </c>
      <c r="C26">
        <v>6.25</v>
      </c>
      <c r="D26">
        <v>7.25</v>
      </c>
      <c r="E26" s="51">
        <v>0.36249999476127814</v>
      </c>
      <c r="F26" s="52">
        <v>2721284.3675206862</v>
      </c>
      <c r="G26">
        <v>7.9999998843868284E-3</v>
      </c>
      <c r="H26">
        <v>0</v>
      </c>
      <c r="I26">
        <v>0</v>
      </c>
      <c r="J26">
        <v>0</v>
      </c>
      <c r="K26">
        <v>7.9999998843868284E-3</v>
      </c>
      <c r="L26" s="50">
        <v>0.84419480148941073</v>
      </c>
      <c r="M26" s="5">
        <v>0.84419481368941585</v>
      </c>
      <c r="N26" s="6"/>
      <c r="Q26" s="14"/>
      <c r="R26" s="1"/>
    </row>
    <row r="27" spans="1:22" x14ac:dyDescent="0.25">
      <c r="A27" s="1">
        <v>47240</v>
      </c>
      <c r="B27" s="50">
        <v>3321420.8000000003</v>
      </c>
      <c r="C27">
        <v>6.5</v>
      </c>
      <c r="D27">
        <v>7.5</v>
      </c>
      <c r="E27" s="51">
        <v>0.3899999943638579</v>
      </c>
      <c r="F27" s="52">
        <v>2699677.7541840812</v>
      </c>
      <c r="G27">
        <v>7.9999998843868284E-3</v>
      </c>
      <c r="H27">
        <v>0</v>
      </c>
      <c r="I27">
        <v>0</v>
      </c>
      <c r="J27">
        <v>0</v>
      </c>
      <c r="K27">
        <v>7.9999998843868284E-3</v>
      </c>
      <c r="L27" s="50">
        <v>0.83619480160502402</v>
      </c>
      <c r="M27" s="5">
        <v>0.83619481368941595</v>
      </c>
      <c r="N27" s="6"/>
      <c r="P27" s="58"/>
      <c r="Q27" s="58"/>
      <c r="R27" s="1"/>
      <c r="S27" s="1"/>
    </row>
    <row r="28" spans="1:22" x14ac:dyDescent="0.25">
      <c r="A28" s="1">
        <v>47332</v>
      </c>
      <c r="B28" s="50">
        <v>3321420.8000000003</v>
      </c>
      <c r="C28">
        <v>6.75</v>
      </c>
      <c r="D28">
        <v>7.75</v>
      </c>
      <c r="E28" s="51">
        <v>0.41849999395198595</v>
      </c>
      <c r="F28" s="52">
        <v>2678242.694304164</v>
      </c>
      <c r="G28">
        <v>7.9999998843868284E-3</v>
      </c>
      <c r="H28">
        <v>0</v>
      </c>
      <c r="I28">
        <v>0</v>
      </c>
      <c r="J28">
        <v>0</v>
      </c>
      <c r="K28">
        <v>7.9999998843868284E-3</v>
      </c>
      <c r="L28" s="50">
        <v>0.82819480172063709</v>
      </c>
      <c r="M28" s="5">
        <v>0.82819481368941583</v>
      </c>
      <c r="N28" s="6"/>
      <c r="P28" s="1"/>
      <c r="R28" s="12"/>
    </row>
    <row r="29" spans="1:22" x14ac:dyDescent="0.25">
      <c r="A29" s="1">
        <v>47424</v>
      </c>
      <c r="B29" s="50">
        <v>3321420.8000000003</v>
      </c>
      <c r="C29">
        <v>7</v>
      </c>
      <c r="D29">
        <v>8</v>
      </c>
      <c r="E29" s="51">
        <v>0.44799999352566239</v>
      </c>
      <c r="F29" s="52">
        <v>2656977.8257707302</v>
      </c>
      <c r="G29">
        <v>7.9999998843868284E-3</v>
      </c>
      <c r="H29">
        <v>0</v>
      </c>
      <c r="I29">
        <v>0</v>
      </c>
      <c r="J29">
        <v>0</v>
      </c>
      <c r="K29">
        <v>7.9999998843868284E-3</v>
      </c>
      <c r="L29" s="50">
        <v>0.82019480183625038</v>
      </c>
      <c r="M29" s="5">
        <v>0.82019481368941594</v>
      </c>
      <c r="N29" s="6"/>
      <c r="P29" s="1"/>
    </row>
    <row r="30" spans="1:22" x14ac:dyDescent="0.25">
      <c r="A30" s="1">
        <v>47516</v>
      </c>
      <c r="B30" s="50">
        <v>3321420.8000000003</v>
      </c>
      <c r="C30">
        <v>7.25</v>
      </c>
      <c r="D30">
        <v>8.25</v>
      </c>
      <c r="E30" s="51">
        <v>0.47849999308488717</v>
      </c>
      <c r="F30" s="52">
        <v>2635881.7972885375</v>
      </c>
      <c r="G30">
        <v>7.9999998843868284E-3</v>
      </c>
      <c r="H30">
        <v>0</v>
      </c>
      <c r="I30">
        <v>0</v>
      </c>
      <c r="J30">
        <v>0</v>
      </c>
      <c r="K30">
        <v>7.9999998843868284E-3</v>
      </c>
      <c r="L30" s="50">
        <v>0.81219480195186344</v>
      </c>
      <c r="M30" s="5">
        <v>0.81219481368941582</v>
      </c>
      <c r="N30" s="6"/>
      <c r="P30" s="1"/>
    </row>
    <row r="31" spans="1:22" x14ac:dyDescent="0.25">
      <c r="A31" s="1">
        <v>47605</v>
      </c>
      <c r="B31" s="50">
        <v>3321420.8000000003</v>
      </c>
      <c r="C31">
        <v>7.5</v>
      </c>
      <c r="D31">
        <v>8.5</v>
      </c>
      <c r="E31" s="50">
        <v>0.50999999262966034</v>
      </c>
      <c r="F31" s="52">
        <v>2614953.2682914389</v>
      </c>
      <c r="G31">
        <v>7.9999998843868284E-3</v>
      </c>
      <c r="H31">
        <v>0</v>
      </c>
      <c r="I31">
        <v>0</v>
      </c>
      <c r="J31">
        <v>0</v>
      </c>
      <c r="K31">
        <v>7.9999998843868284E-3</v>
      </c>
      <c r="L31" s="50">
        <v>0.80419480206747673</v>
      </c>
      <c r="M31" s="5">
        <v>0.80419481368941592</v>
      </c>
      <c r="N31" s="6"/>
      <c r="P31" s="1"/>
    </row>
    <row r="32" spans="1:22" x14ac:dyDescent="0.25">
      <c r="A32" s="1">
        <v>47697</v>
      </c>
      <c r="B32" s="50">
        <v>3321420.8000000003</v>
      </c>
      <c r="C32">
        <v>7.75</v>
      </c>
      <c r="D32">
        <v>8.75</v>
      </c>
      <c r="E32" s="51">
        <v>0.54249999215998179</v>
      </c>
      <c r="F32" s="52">
        <v>2594190.9088571914</v>
      </c>
      <c r="G32">
        <v>7.9999998843868284E-3</v>
      </c>
      <c r="H32">
        <v>0</v>
      </c>
      <c r="I32">
        <v>0</v>
      </c>
      <c r="J32">
        <v>0</v>
      </c>
      <c r="K32">
        <v>7.9999998843868284E-3</v>
      </c>
      <c r="L32" s="50">
        <v>0.7961948021830898</v>
      </c>
      <c r="M32" s="5">
        <v>0.7961948136894158</v>
      </c>
      <c r="N32" s="6"/>
      <c r="P32" s="1"/>
    </row>
    <row r="33" spans="1:19" x14ac:dyDescent="0.25">
      <c r="A33" s="1">
        <v>47789</v>
      </c>
      <c r="B33" s="50">
        <v>3321420.8000000003</v>
      </c>
      <c r="C33">
        <v>8</v>
      </c>
      <c r="D33">
        <v>9</v>
      </c>
      <c r="E33" s="51">
        <v>0.57599999167585159</v>
      </c>
      <c r="F33" s="52">
        <v>2573593.399622947</v>
      </c>
      <c r="G33">
        <v>7.9999998843868284E-3</v>
      </c>
      <c r="H33">
        <v>0</v>
      </c>
      <c r="I33">
        <v>0</v>
      </c>
      <c r="J33">
        <v>0</v>
      </c>
      <c r="K33">
        <v>7.9999998843868284E-3</v>
      </c>
      <c r="L33" s="50">
        <v>0.78819480229870298</v>
      </c>
      <c r="M33" s="5">
        <v>0.7881948136894158</v>
      </c>
      <c r="N33" s="6"/>
      <c r="P33" s="1"/>
    </row>
    <row r="34" spans="1:19" x14ac:dyDescent="0.25">
      <c r="A34" s="1">
        <v>47881</v>
      </c>
      <c r="B34" s="50">
        <v>3321420.8000000003</v>
      </c>
      <c r="C34">
        <v>8.25</v>
      </c>
      <c r="D34">
        <v>9.25</v>
      </c>
      <c r="E34" s="51">
        <v>0.61049999117726983</v>
      </c>
      <c r="F34" s="52">
        <v>2553159.431701412</v>
      </c>
      <c r="G34">
        <v>7.9999998843868284E-3</v>
      </c>
      <c r="H34">
        <v>0</v>
      </c>
      <c r="I34">
        <v>0</v>
      </c>
      <c r="J34">
        <v>0</v>
      </c>
      <c r="K34">
        <v>7.9999998843868284E-3</v>
      </c>
      <c r="L34" s="50">
        <v>0.78019480241431616</v>
      </c>
      <c r="M34" s="5">
        <v>0.78019481368941579</v>
      </c>
      <c r="N34" s="6"/>
      <c r="P34" s="1"/>
    </row>
    <row r="35" spans="1:19" x14ac:dyDescent="0.25">
      <c r="A35" s="1">
        <v>47970</v>
      </c>
      <c r="B35" s="50">
        <v>3321420.8000000003</v>
      </c>
      <c r="C35">
        <v>8.5</v>
      </c>
      <c r="D35">
        <v>9.5</v>
      </c>
      <c r="E35" s="51">
        <v>0.64599999066423641</v>
      </c>
      <c r="F35" s="52">
        <v>2532887.7065976742</v>
      </c>
      <c r="G35">
        <v>7.9999998843868284E-3</v>
      </c>
      <c r="H35">
        <v>0</v>
      </c>
      <c r="I35">
        <v>0</v>
      </c>
      <c r="J35">
        <v>0</v>
      </c>
      <c r="K35">
        <v>7.9999998843868284E-3</v>
      </c>
      <c r="L35" s="50">
        <v>0.77219480252992934</v>
      </c>
      <c r="M35" s="5">
        <v>0.77219481368941589</v>
      </c>
      <c r="N35" s="6"/>
      <c r="P35" s="1"/>
      <c r="R35" s="14"/>
      <c r="S35" s="4"/>
    </row>
    <row r="36" spans="1:19" x14ac:dyDescent="0.25">
      <c r="A36" s="1">
        <v>48062</v>
      </c>
      <c r="B36" s="50">
        <v>3321420.8000000003</v>
      </c>
      <c r="C36">
        <v>8.75</v>
      </c>
      <c r="D36">
        <v>9.75</v>
      </c>
      <c r="E36" s="51">
        <v>0.68249999013675133</v>
      </c>
      <c r="F36" s="52">
        <v>2512776.9361266866</v>
      </c>
      <c r="G36">
        <v>7.9999998843868284E-3</v>
      </c>
      <c r="H36">
        <v>0</v>
      </c>
      <c r="I36">
        <v>0</v>
      </c>
      <c r="J36">
        <v>0</v>
      </c>
      <c r="K36">
        <v>7.9999998843868284E-3</v>
      </c>
      <c r="L36" s="50">
        <v>0.76419480264554251</v>
      </c>
      <c r="M36" s="5">
        <v>0.76419481368941589</v>
      </c>
      <c r="N36" s="6"/>
      <c r="P36" s="1"/>
      <c r="R36" s="14"/>
      <c r="S36" s="6"/>
    </row>
    <row r="37" spans="1:19" x14ac:dyDescent="0.25">
      <c r="A37" s="1">
        <v>48154</v>
      </c>
      <c r="B37" s="50">
        <v>3321420.8000000003</v>
      </c>
      <c r="C37">
        <v>9</v>
      </c>
      <c r="D37">
        <v>10</v>
      </c>
      <c r="E37" s="51">
        <v>0.71999998959481459</v>
      </c>
      <c r="F37" s="52">
        <v>2492825.842331409</v>
      </c>
      <c r="G37">
        <v>7.9999998843868284E-3</v>
      </c>
      <c r="H37">
        <v>0</v>
      </c>
      <c r="I37">
        <v>0</v>
      </c>
      <c r="J37">
        <v>0</v>
      </c>
      <c r="K37">
        <v>7.9999998843868284E-3</v>
      </c>
      <c r="L37" s="50">
        <v>0.75619480276115569</v>
      </c>
      <c r="M37" s="5">
        <v>0.75619481368941588</v>
      </c>
      <c r="N37" s="6"/>
      <c r="P37" s="1"/>
      <c r="R37" s="14"/>
      <c r="S37" s="7"/>
    </row>
    <row r="38" spans="1:19" x14ac:dyDescent="0.25">
      <c r="A38" s="1">
        <v>48246</v>
      </c>
      <c r="B38" s="50">
        <v>3321420.8000000003</v>
      </c>
      <c r="C38">
        <v>9.25</v>
      </c>
      <c r="D38">
        <v>10.25</v>
      </c>
      <c r="E38" s="51">
        <v>0.75849998903842619</v>
      </c>
      <c r="F38" s="52">
        <v>2473033.1574015999</v>
      </c>
      <c r="G38">
        <v>7.9999998843868284E-3</v>
      </c>
      <c r="H38">
        <v>0</v>
      </c>
      <c r="I38">
        <v>0</v>
      </c>
      <c r="J38">
        <v>0</v>
      </c>
      <c r="K38">
        <v>7.9999998843868284E-3</v>
      </c>
      <c r="L38" s="50">
        <v>0.74819480287676887</v>
      </c>
      <c r="M38" s="5">
        <v>0.74819481368941587</v>
      </c>
      <c r="N38" s="6"/>
      <c r="P38" s="1"/>
      <c r="R38" s="14"/>
      <c r="S38" s="41"/>
    </row>
    <row r="39" spans="1:19" x14ac:dyDescent="0.25">
      <c r="A39" s="1">
        <v>48336</v>
      </c>
      <c r="B39" s="50">
        <v>3321420.8000000003</v>
      </c>
      <c r="C39">
        <v>9.5</v>
      </c>
      <c r="D39">
        <v>10.5</v>
      </c>
      <c r="E39" s="51">
        <v>0.79799998846758613</v>
      </c>
      <c r="F39" s="52">
        <v>2453397.6235932526</v>
      </c>
      <c r="G39">
        <v>7.9999998843868284E-3</v>
      </c>
      <c r="H39">
        <v>0</v>
      </c>
      <c r="I39">
        <v>0</v>
      </c>
      <c r="J39">
        <v>0</v>
      </c>
      <c r="K39">
        <v>7.9999998843868284E-3</v>
      </c>
      <c r="L39" s="50">
        <v>0.74019480299238205</v>
      </c>
      <c r="M39" s="5">
        <v>0.74019481368941586</v>
      </c>
      <c r="N39" s="6"/>
      <c r="P39" s="1"/>
    </row>
    <row r="40" spans="1:19" x14ac:dyDescent="0.25">
      <c r="A40" s="1">
        <v>48428</v>
      </c>
      <c r="B40" s="50">
        <v>3321420.8000000003</v>
      </c>
      <c r="C40">
        <v>9.75</v>
      </c>
      <c r="D40">
        <v>10.75</v>
      </c>
      <c r="E40" s="51">
        <v>0.83849998788229441</v>
      </c>
      <c r="F40" s="52">
        <v>2433917.9931486696</v>
      </c>
      <c r="G40">
        <v>7.9999998843868284E-3</v>
      </c>
      <c r="H40">
        <v>0</v>
      </c>
      <c r="I40">
        <v>0</v>
      </c>
      <c r="J40">
        <v>0</v>
      </c>
      <c r="K40">
        <v>7.9999998843868284E-3</v>
      </c>
      <c r="L40" s="50">
        <v>0.73219480310799523</v>
      </c>
      <c r="M40" s="5">
        <v>0.73219481368941586</v>
      </c>
      <c r="N40" s="6"/>
      <c r="P40" s="1"/>
    </row>
    <row r="41" spans="1:19" x14ac:dyDescent="0.25">
      <c r="A41" s="1">
        <v>48520</v>
      </c>
      <c r="B41" s="50">
        <v>3321420.8000000003</v>
      </c>
      <c r="C41">
        <v>10</v>
      </c>
      <c r="D41">
        <v>11</v>
      </c>
      <c r="E41" s="51">
        <v>80.541428341879481</v>
      </c>
      <c r="F41" s="52">
        <v>2414593.0282171727</v>
      </c>
      <c r="G41">
        <v>0</v>
      </c>
      <c r="H41" s="50">
        <v>415177600</v>
      </c>
      <c r="I41" s="50">
        <v>300669464.68001884</v>
      </c>
      <c r="J41" s="52">
        <v>0.72419480322360841</v>
      </c>
      <c r="K41" s="52">
        <v>0.73219480310799523</v>
      </c>
      <c r="L41" s="50"/>
      <c r="M41" s="5"/>
      <c r="P41" s="1"/>
    </row>
    <row r="42" spans="1:19" x14ac:dyDescent="0.25">
      <c r="A42" s="1"/>
      <c r="B42" s="50"/>
      <c r="L42" s="50"/>
      <c r="M42" s="5"/>
      <c r="Q42" s="1"/>
    </row>
    <row r="43" spans="1:19" x14ac:dyDescent="0.25">
      <c r="A43" s="1" t="s">
        <v>10</v>
      </c>
      <c r="B43" s="50">
        <v>132856831.99999993</v>
      </c>
      <c r="C43" s="50"/>
      <c r="D43" s="50"/>
      <c r="E43" s="50">
        <v>92.371428170916502</v>
      </c>
      <c r="F43" s="50">
        <v>113305251.69397576</v>
      </c>
      <c r="G43" s="50">
        <v>0.31199999549108609</v>
      </c>
      <c r="H43" s="50">
        <v>415177600</v>
      </c>
      <c r="I43" s="50">
        <v>300669464.68001884</v>
      </c>
      <c r="J43" s="50">
        <v>0.72419480322360841</v>
      </c>
      <c r="K43" s="50">
        <v>1.0441947985990814</v>
      </c>
      <c r="L43" s="50"/>
      <c r="M43" s="5"/>
    </row>
    <row r="44" spans="1:19" x14ac:dyDescent="0.25">
      <c r="A44" s="1"/>
      <c r="B44" s="50"/>
      <c r="L44" s="50"/>
      <c r="M44" s="5"/>
    </row>
    <row r="45" spans="1:19" x14ac:dyDescent="0.25">
      <c r="A45" s="1"/>
      <c r="B45" s="50"/>
      <c r="L45" s="50"/>
      <c r="M45" s="5"/>
    </row>
    <row r="46" spans="1:19" x14ac:dyDescent="0.25">
      <c r="A46" s="1" t="s">
        <v>29</v>
      </c>
      <c r="B46" s="50">
        <v>8.8819481368941577</v>
      </c>
      <c r="L46" s="50"/>
      <c r="M46" s="5"/>
    </row>
    <row r="47" spans="1:19" x14ac:dyDescent="0.25">
      <c r="A47" s="1" t="s">
        <v>45</v>
      </c>
      <c r="B47" s="50">
        <v>8.6032043170226249</v>
      </c>
      <c r="C47" t="s">
        <v>44</v>
      </c>
      <c r="L47" s="50"/>
      <c r="M47" s="5"/>
    </row>
    <row r="48" spans="1:19" x14ac:dyDescent="0.25">
      <c r="A48" s="1" t="s">
        <v>19</v>
      </c>
      <c r="B48" s="50">
        <v>88.461873488399277</v>
      </c>
      <c r="L48" s="50"/>
      <c r="M48" s="5"/>
    </row>
    <row r="49" spans="1:13" x14ac:dyDescent="0.25">
      <c r="A49" s="1"/>
      <c r="B49" s="50"/>
      <c r="L49" s="50"/>
      <c r="M49" s="5"/>
    </row>
    <row r="50" spans="1:13" x14ac:dyDescent="0.25">
      <c r="A50" s="1"/>
      <c r="B50" s="50"/>
      <c r="L50" s="50"/>
      <c r="M50" s="5"/>
    </row>
    <row r="51" spans="1:13" x14ac:dyDescent="0.25">
      <c r="A51" s="1"/>
      <c r="B51" s="50"/>
    </row>
    <row r="53" spans="1:13" x14ac:dyDescent="0.25"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</row>
  </sheetData>
  <mergeCells count="1">
    <mergeCell ref="P27:Q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 (without amortization)</vt:lpstr>
      <vt:lpstr>VBA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Mary-Melody MOREL</dc:creator>
  <cp:lastModifiedBy>Mary-Melody MOREL</cp:lastModifiedBy>
  <cp:lastPrinted>2026-06-01T15:57:13Z</cp:lastPrinted>
  <dcterms:created xsi:type="dcterms:W3CDTF">2026-05-26T09:41:24Z</dcterms:created>
  <dcterms:modified xsi:type="dcterms:W3CDTF">2026-06-08T14:12:36Z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ed5431-0ab7-4c1b-98f4-d4e50f674d02_Enabled">
    <vt:lpwstr>true</vt:lpwstr>
  </property>
  <property fmtid="{D5CDD505-2E9C-101B-9397-08002B2CF9AE}" pid="3" name="MSIP_Label_48ed5431-0ab7-4c1b-98f4-d4e50f674d02_SetDate">
    <vt:lpwstr>2026-05-26T09:41:40Z</vt:lpwstr>
  </property>
  <property fmtid="{D5CDD505-2E9C-101B-9397-08002B2CF9AE}" pid="4" name="MSIP_Label_48ed5431-0ab7-4c1b-98f4-d4e50f674d02_Method">
    <vt:lpwstr>Privileged</vt:lpwstr>
  </property>
  <property fmtid="{D5CDD505-2E9C-101B-9397-08002B2CF9AE}" pid="5" name="MSIP_Label_48ed5431-0ab7-4c1b-98f4-d4e50f674d02_Name">
    <vt:lpwstr>48ed5431-0ab7-4c1b-98f4-d4e50f674d02</vt:lpwstr>
  </property>
  <property fmtid="{D5CDD505-2E9C-101B-9397-08002B2CF9AE}" pid="6" name="MSIP_Label_48ed5431-0ab7-4c1b-98f4-d4e50f674d02_SiteId">
    <vt:lpwstr>614f9c25-bffa-42c7-86d8-964101f55fa2</vt:lpwstr>
  </property>
  <property fmtid="{D5CDD505-2E9C-101B-9397-08002B2CF9AE}" pid="7" name="MSIP_Label_48ed5431-0ab7-4c1b-98f4-d4e50f674d02_ActionId">
    <vt:lpwstr>74528818-d9c8-4742-b02b-339f539a479c</vt:lpwstr>
  </property>
  <property fmtid="{D5CDD505-2E9C-101B-9397-08002B2CF9AE}" pid="8" name="MSIP_Label_48ed5431-0ab7-4c1b-98f4-d4e50f674d02_ContentBits">
    <vt:lpwstr>0</vt:lpwstr>
  </property>
  <property fmtid="{D5CDD505-2E9C-101B-9397-08002B2CF9AE}" pid="9" name="MSIP_Label_48ed5431-0ab7-4c1b-98f4-d4e50f674d02_Tag">
    <vt:lpwstr>10, 0, 1, 1</vt:lpwstr>
  </property>
</Properties>
</file>